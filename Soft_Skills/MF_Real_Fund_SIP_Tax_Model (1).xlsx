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10.xml.rels" ContentType="application/vnd.openxmlformats-package.relationships+xml"/>
  <Override PartName="/xl/worksheets/_rels/sheet8.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xl/drawings/_rels/drawing2.xml.rels" ContentType="application/vnd.openxmlformats-package.relationships+xml"/>
  <Override PartName="/xl/drawings/_rels/drawing1.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Fund Facts" sheetId="2" state="visible" r:id="rId4"/>
    <sheet name="Assumptions" sheetId="3" state="visible" r:id="rId5"/>
    <sheet name="SIP_Fund1_PPFAS" sheetId="4" state="visible" r:id="rId6"/>
    <sheet name="SIP_Fund2_HDFCMidcap" sheetId="5" state="visible" r:id="rId7"/>
    <sheet name="SIP_Fund3_SBISmallcap" sheetId="6" state="visible" r:id="rId8"/>
    <sheet name="Withdrawal_Jan2036" sheetId="7" state="visible" r:id="rId9"/>
    <sheet name="10Yr_Summary" sheetId="8" state="visible" r:id="rId10"/>
    <sheet name="STP_Illustration" sheetId="9" state="visible" r:id="rId11"/>
    <sheet name="SWP_Illustration" sheetId="10" state="visible" r:id="rId1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<sst xmlns="http://schemas.openxmlformats.org/spreadsheetml/2006/main" count="360" uniqueCount="193">
  <si>
    <t xml:space="preserve">Real-Time Fund Explanation: SIP Growth, Direct vs Regular, Tax &amp; Exit Load</t>
  </si>
  <si>
    <t xml:space="preserve">Companion model for the Mutual Funds team presentation — Jan 2025 to Dec 2034</t>
  </si>
  <si>
    <t xml:space="preserve">WHAT THIS WORKBOOK SHOWS</t>
  </si>
  <si>
    <t xml:space="preserve">Three real, currently-traded Indian mutual fund schemes across three risk categories (Flexi Cap, Mid Cap, Small Cap) are used to</t>
  </si>
  <si>
    <t xml:space="preserve">demonstrate, with a single consistent SIP plan, how Direct vs Regular plans, expense ratio, exit load and capital-gains tax actually</t>
  </si>
  <si>
    <t xml:space="preserve">affect what an investor takes home — not just the headline NAV growth.</t>
  </si>
  <si>
    <t xml:space="preserve">THE SCENARIO MODELLED</t>
  </si>
  <si>
    <t xml:space="preserve">• SIP starts 1-Jan-2025, runs for 10 years (120 months) to Dec-2034.</t>
  </si>
  <si>
    <t xml:space="preserve">• SIP amount starts at ₹3,000/month and steps up by ₹1,000/month every 12 months (Year 1 = ₹3,000, Year 2 = ₹4,000 … Year 10 = ₹12,000).</t>
  </si>
  <si>
    <t xml:space="preserve">• A full withdrawal / redemption check is modelled as of 15-Jan-2036 — i.e. ~11 years after the SIP started, about 13 months after the</t>
  </si>
  <si>
    <t xml:space="preserve">  120th and final instalment (Dec-2034) — to show what an investor actually takes home at the end of the full journey.</t>
  </si>
  <si>
    <t xml:space="preserve">• Every SIP instalment is a separate purchase (“lot”) with its own purchase date and NAV — this is exactly how AMCs and the</t>
  </si>
  <si>
    <t xml:space="preserve">  Income Tax Department treat SIPs: each instalment has its own holding period for tax purposes (FIFO on redemption). By</t>
  </si>
  <si>
    <t xml:space="preserve">  15-Jan-2036 every one of the 120 instalments has been held over 365 days, so every lot qualifies as long-term (LTCG) and exit</t>
  </si>
  <si>
    <t xml:space="preserve">  load has fully worn off on all three funds — a useful lesson in itself about staying invested.</t>
  </si>
  <si>
    <t xml:space="preserve">• Two more sheets model what SIP investors typically do next: STP_Illustration (phasing a lumpsum into equity via a debt/liquid</t>
  </si>
  <si>
    <t xml:space="preserve">  fund) and SWP_Illustration (drawing a regular income from the accumulated corpus after the SIP ends).</t>
  </si>
  <si>
    <t xml:space="preserve">SHEETS IN THIS WORKBOOK</t>
  </si>
  <si>
    <t xml:space="preserve">1. Fund Facts — real, current data for the 3 chosen schemes (NAV, AUM, expense ratio, exit load) — sources cited.</t>
  </si>
  <si>
    <t xml:space="preserve">2. Assumptions — every editable input (blue cells): starting NAV used for the projection, assumed annual return, SIP step-up,</t>
  </si>
  <si>
    <t xml:space="preserve">   tax rates, exit-load slabs. Change any blue cell and the whole workbook recalculates.</t>
  </si>
  <si>
    <t xml:space="preserve">3. SIP_Fund1/2/3 — month-by-month SIP schedule for each fund, Direct and Regular side by side, for all 120 months.</t>
  </si>
  <si>
    <t xml:space="preserve">4. Withdrawal_Jan2036 — full lot-by-lot breakdown of redeeming the entire SIP (all 120 instalments) on 15-Jan-2036: exit load,</t>
  </si>
  <si>
    <t xml:space="preserve">   LTCG, tax, and net amount received — for Direct and Regular, for all 3 funds. Lot rows are grouped/collapsible (Excel row</t>
  </si>
  <si>
    <t xml:space="preserve">   outline, left margin) so you can collapse the detail and just see subtotals while presenting.</t>
  </si>
  <si>
    <t xml:space="preserve">5. 10Yr_Summary — the same Direct vs Regular comparison at the raw 10-year mark, with charts.</t>
  </si>
  <si>
    <t xml:space="preserve">6. STP_Illustration — a ₹5,00,000 lumpsum phased into equity over 10 months via a debt/liquid fund, vs investing it all on day 1.</t>
  </si>
  <si>
    <t xml:space="preserve">7. SWP_Illustration — drawing ₹25,000/month from the Fund-1 Direct corpus for 5 years after the SIP ends, with annual tax.</t>
  </si>
  <si>
    <t xml:space="preserve">IMPORTANT — PLEASE READ BEFORE PRESENTING</t>
  </si>
  <si>
    <t xml:space="preserve">• The NAV shown in 'Fund Facts' is REAL current data (cited, dated). The 'Starting NAV (Jan-2025)' used inside the SIP</t>
  </si>
  <si>
    <t xml:space="preserve">  projection is an ILLUSTRATIVE back-estimate used only to make the 10-year growth model work — it is not an audited</t>
  </si>
  <si>
    <t xml:space="preserve">  historical NAV. Refresh both before presenting, as the guide's own checklist recommends.</t>
  </si>
  <si>
    <t xml:space="preserve">• The annual returns (CAGR) used for the 10-year projection are ILLUSTRATIVE ASSUMPTIONS based on each category's broad</t>
  </si>
  <si>
    <t xml:space="preserve">  long-term character (not a promise or prediction). The Regular-plan CAGR is deliberately derived as</t>
  </si>
  <si>
    <t xml:space="preserve">  Direct CAGR − (Regular expense ratio − Direct expense ratio) — i.e. same portfolio, same fund manager, only cost differs.</t>
  </si>
  <si>
    <t xml:space="preserve">  This isolates exactly how much of the 'commission' (distributor cost baked into Regular plans) eats into your returns.</t>
  </si>
  <si>
    <t xml:space="preserve">• Tax rates used: STCG on equity — 20% (holding ≤ 12 months). LTCG on equity — 12.5% on gains above ₹1,25,000 in a financial</t>
  </si>
  <si>
    <t xml:space="preserve">  year (holding &gt; 12 months). This ₹1,25,000 exemption is an AGGREGATE, PER-INVESTOR, PER-FINANCIAL-YEAR limit across ALL</t>
  </si>
  <si>
    <t xml:space="preserve">  equity LTCG — shown per-fund here for teaching clarity, but in real life it is one shared limit across everything you sell.</t>
  </si>
  <si>
    <t xml:space="preserve">• Exit load is deducted from the redemption NAV by the AMC before the capital-gains tax is computed — modelled that way here.</t>
  </si>
  <si>
    <t xml:space="preserve">• This is an educational illustration only — not investment advice and not a return guarantee.</t>
  </si>
  <si>
    <t xml:space="preserve">Fund Facts — Real, Current Data (cited)</t>
  </si>
  <si>
    <t xml:space="preserve">Verify NAV/AUM/expense ratio again on the day you present — these change daily/quarterly</t>
  </si>
  <si>
    <t xml:space="preserve">Fund</t>
  </si>
  <si>
    <t xml:space="preserve">Category</t>
  </si>
  <si>
    <t xml:space="preserve">Plan</t>
  </si>
  <si>
    <t xml:space="preserve">NAV (₹)</t>
  </si>
  <si>
    <t xml:space="preserve">NAV as of</t>
  </si>
  <si>
    <t xml:space="preserve">AUM (₹ Cr)</t>
  </si>
  <si>
    <t xml:space="preserve">Expense Ratio</t>
  </si>
  <si>
    <t xml:space="preserve">Exit Load</t>
  </si>
  <si>
    <t xml:space="preserve">5Y CAGR (historical, Direct)</t>
  </si>
  <si>
    <t xml:space="preserve">Source</t>
  </si>
  <si>
    <t xml:space="preserve">Parag Parikh Flexi Cap Fund</t>
  </si>
  <si>
    <t xml:space="preserve">Flexi Cap</t>
  </si>
  <si>
    <t xml:space="preserve">Direct</t>
  </si>
  <si>
    <t xml:space="preserve">18-Sep-2026</t>
  </si>
  <si>
    <t xml:space="preserve">2% if &lt;365 days; 1% if 366–730 days; Nil after 730 days (first 10% of units per purchase exempt)</t>
  </si>
  <si>
    <t xml:space="preserve">Value Research / Tickertape</t>
  </si>
  <si>
    <t xml:space="preserve">Regular</t>
  </si>
  <si>
    <t xml:space="preserve">31-Jul-2026</t>
  </si>
  <si>
    <t xml:space="preserve">Same as Direct plan</t>
  </si>
  <si>
    <t xml:space="preserve">— (see Assumptions sheet)</t>
  </si>
  <si>
    <t xml:space="preserve">Value Research</t>
  </si>
  <si>
    <t xml:space="preserve">HDFC Mid-Cap Opportunities Fund</t>
  </si>
  <si>
    <t xml:space="preserve">Mid Cap</t>
  </si>
  <si>
    <t xml:space="preserve">22-Jul-2026</t>
  </si>
  <si>
    <t xml:space="preserve">1% if redeemed within 365 days; Nil after</t>
  </si>
  <si>
    <t xml:space="preserve">~26.5% (3Y CAGR)</t>
  </si>
  <si>
    <t xml:space="preserve">Value Research / ClearTax</t>
  </si>
  <si>
    <t xml:space="preserve">6-Feb-2026</t>
  </si>
  <si>
    <t xml:space="preserve">ClearTax / Value Research</t>
  </si>
  <si>
    <t xml:space="preserve">SBI Small Cap Fund</t>
  </si>
  <si>
    <t xml:space="preserve">Small Cap</t>
  </si>
  <si>
    <t xml:space="preserve">9-Jul-2026</t>
  </si>
  <si>
    <t xml:space="preserve">Upstox / ClearTax</t>
  </si>
  <si>
    <t xml:space="preserve">15-Jul-2026</t>
  </si>
  <si>
    <t xml:space="preserve">MySIPonline / ClearTax</t>
  </si>
  <si>
    <t xml:space="preserve">Note: All figures above are real, sourced figures as of the dates shown — refresh from the AMC factsheet / Value Research / AMFI before presenting live.</t>
  </si>
  <si>
    <t xml:space="preserve">Assumptions — edit any blue cell</t>
  </si>
  <si>
    <t xml:space="preserve">Everything else in this workbook recalculates from these inputs</t>
  </si>
  <si>
    <t xml:space="preserve">SIP &amp; TAX-DATE INPUTS</t>
  </si>
  <si>
    <t xml:space="preserve">SIP Start Date</t>
  </si>
  <si>
    <t xml:space="preserve">Withdrawal Check Date (case study)</t>
  </si>
  <si>
    <t xml:space="preserve">Used only in the Withdrawal_Jan2036 sheet — by this date all 120 SIP instalments (Jan-2025 to Dec-2034) are complete</t>
  </si>
  <si>
    <t xml:space="preserve">SIP Base Amount — Year 1 (₹/month)</t>
  </si>
  <si>
    <t xml:space="preserve">Annual Step-Up (₹/month, added every 12 months)</t>
  </si>
  <si>
    <t xml:space="preserve">Investment Horizon (years)</t>
  </si>
  <si>
    <t xml:space="preserve">TAX INPUTS (equity mutual funds, current rules)</t>
  </si>
  <si>
    <t xml:space="preserve">STCG Tax Rate (holding ≤ 12 months)</t>
  </si>
  <si>
    <t xml:space="preserve">LTCG Tax Rate (holding &gt; 12 months, on gains above exemption)</t>
  </si>
  <si>
    <t xml:space="preserve">LTCG Exemption (₹, aggregate per investor per FY, all equity LTCG)</t>
  </si>
  <si>
    <t xml:space="preserve">FUND PROJECTION ASSUMPTIONS</t>
  </si>
  <si>
    <t xml:space="preserve">Starting NAV (Jan-2025) is an illustrative back-estimate for this model, not an audited historical NAV. Direct-plan CAGR is an illustrative assumption; Regular-plan CAGR = Direct CAGR − (Regular expense ratio − Direct expense ratio) — same portfolio, only cost differs.</t>
  </si>
  <si>
    <t xml:space="preserve">Starting NAV
(Jan-2025, illustrative)</t>
  </si>
  <si>
    <t xml:space="preserve">Expense Ratio
(from Fund Facts)</t>
  </si>
  <si>
    <t xml:space="preserve">Assumed Annual
Return (CAGR)</t>
  </si>
  <si>
    <t xml:space="preserve">Exit Load
&lt;365 days</t>
  </si>
  <si>
    <t xml:space="preserve">Exit Load
365–730 days</t>
  </si>
  <si>
    <t xml:space="preserve">Exit Load
&gt;730 days</t>
  </si>
  <si>
    <t xml:space="preserve">STP &amp; SWP ASSUMPTIONS</t>
  </si>
  <si>
    <t xml:space="preserve">STP moves a lumpsum from a debt/liquid fund into Fund 1 (Parag Parikh Flexi Cap, Direct) in equal monthly instalments. SWP draws a fixed monthly amount from the Fund 1 Direct corpus once the 10-year SIP ends.</t>
  </si>
  <si>
    <t xml:space="preserve">STP — Lumpsum Amount (₹)</t>
  </si>
  <si>
    <t xml:space="preserve">STP — Duration (months)</t>
  </si>
  <si>
    <t xml:space="preserve">STP — Start Date</t>
  </si>
  <si>
    <t xml:space="preserve">STP — Source Fund Assumed Annual Return (liquid/ultra-short debt)</t>
  </si>
  <si>
    <t xml:space="preserve">SWP — Monthly Withdrawal Amount (₹)</t>
  </si>
  <si>
    <t xml:space="preserve">SWP — Start Date</t>
  </si>
  <si>
    <t xml:space="preserve">Starts the month after the 10-year SIP ends (Dec-2034)</t>
  </si>
  <si>
    <t xml:space="preserve">SWP — Duration (months)</t>
  </si>
  <si>
    <t xml:space="preserve">SWP — Assumed Annual Return (post-SIP phase, Fund 1 Direct)</t>
  </si>
  <si>
    <t xml:space="preserve">Can differ from the accumulation-phase CAGR — many investors de-risk at/after this stage</t>
  </si>
  <si>
    <t xml:space="preserve">SIP Schedule — Parag Parikh Flexi Cap Fund</t>
  </si>
  <si>
    <t xml:space="preserve">Jan-2025 to Dec-2034 · 120 monthly instalments · Direct vs Regular side by side</t>
  </si>
  <si>
    <t xml:space="preserve">Month #</t>
  </si>
  <si>
    <t xml:space="preserve">Date</t>
  </si>
  <si>
    <t xml:space="preserve">SIP Amount (₹)</t>
  </si>
  <si>
    <t xml:space="preserve">NAV — Direct (₹)</t>
  </si>
  <si>
    <t xml:space="preserve">Units — Direct</t>
  </si>
  <si>
    <t xml:space="preserve">Cum. Units — Direct</t>
  </si>
  <si>
    <t xml:space="preserve">Value — Direct (₹)</t>
  </si>
  <si>
    <t xml:space="preserve">NAV — Regular (₹)</t>
  </si>
  <si>
    <t xml:space="preserve">Units — Regular</t>
  </si>
  <si>
    <t xml:space="preserve">Cum. Units — Regular</t>
  </si>
  <si>
    <t xml:space="preserve">Value — Regular (₹)</t>
  </si>
  <si>
    <t xml:space="preserve">Cum. Invested (₹)</t>
  </si>
  <si>
    <t xml:space="preserve">10-YEAR TOTALS →</t>
  </si>
  <si>
    <t xml:space="preserve">SIP Schedule — HDFC Mid-Cap Opportunities Fund</t>
  </si>
  <si>
    <t xml:space="preserve">SIP Schedule — SBI Small Cap Fund</t>
  </si>
  <si>
    <t xml:space="preserve">What Do You Actually Take Home on 15-Jan-2036?</t>
  </si>
  <si>
    <t xml:space="preserve">~11 years in · all 120 SIP instalments (Jan-2025–Dec-2034) · each instalment is its own tax lot · click − on the left margin to collapse lot detail</t>
  </si>
  <si>
    <t xml:space="preserve">Direct Plan — all 120 SIP instalments</t>
  </si>
  <si>
    <t xml:space="preserve">Lot (SIP Month)</t>
  </si>
  <si>
    <t xml:space="preserve">Purchase Date</t>
  </si>
  <si>
    <t xml:space="preserve">Invested (₹)</t>
  </si>
  <si>
    <t xml:space="preserve">NAV @ Purchase (₹)</t>
  </si>
  <si>
    <t xml:space="preserve">Units</t>
  </si>
  <si>
    <t xml:space="preserve">Holding Days</t>
  </si>
  <si>
    <t xml:space="preserve">NAV @ 15-Jan-2036 (₹)</t>
  </si>
  <si>
    <t xml:space="preserve">Gross Value (₹)</t>
  </si>
  <si>
    <t xml:space="preserve">Exit Load %</t>
  </si>
  <si>
    <t xml:space="preserve">Exit Load Amt (₹)</t>
  </si>
  <si>
    <t xml:space="preserve">Net Redemption (₹)</t>
  </si>
  <si>
    <t xml:space="preserve">Capital Gain (₹)</t>
  </si>
  <si>
    <t xml:space="preserve">Gain Type</t>
  </si>
  <si>
    <t xml:space="preserve">Tax Rate</t>
  </si>
  <si>
    <t xml:space="preserve">Tax Amt (₹)</t>
  </si>
  <si>
    <t xml:space="preserve">SUBTOTAL</t>
  </si>
  <si>
    <t xml:space="preserve">NET AMOUNT RECEIVED (after exit load &amp; tax)</t>
  </si>
  <si>
    <t xml:space="preserve">Regular Plan — all 120 SIP instalments</t>
  </si>
  <si>
    <t xml:space="preserve">Cost of choosing Regular over Direct for Parag Parikh Flexi Cap Fund (full SIP + ~11-year holding period)</t>
  </si>
  <si>
    <t xml:space="preserve">Cost of choosing Regular over Direct for HDFC Mid-Cap Opportunities Fund (full SIP + ~11-year holding period)</t>
  </si>
  <si>
    <t xml:space="preserve">Cost of choosing Regular over Direct for SBI Small Cap Fund (full SIP + ~11-year holding period)</t>
  </si>
  <si>
    <t xml:space="preserve">10-Year Outcome (Jan-2025 – Dec-2034): Direct vs Regular</t>
  </si>
  <si>
    <t xml:space="preserve">Same SIP plan, same fund manager, same portfolio — only the plan (and its cost) differs</t>
  </si>
  <si>
    <t xml:space="preserve">Total Invested (₹)</t>
  </si>
  <si>
    <t xml:space="preserve">Direct — Final Value (₹)</t>
  </si>
  <si>
    <t xml:space="preserve">Regular — Final Value (₹)</t>
  </si>
  <si>
    <t xml:space="preserve">Commission/Cost Gap (₹)</t>
  </si>
  <si>
    <t xml:space="preserve">Cost as % of Direct Value</t>
  </si>
  <si>
    <t xml:space="preserve">Jan-2036 Net Received — Direct (₹)</t>
  </si>
  <si>
    <t xml:space="preserve">Jan-2036 Net Received — Regular (₹)</t>
  </si>
  <si>
    <t xml:space="preserve">Reminder: figures above come from ILLUSTRATIVE assumed annual returns (Assumptions sheet), not a promise of what these funds will actually return. Change the CAGR assumptions to stress-test the story.</t>
  </si>
  <si>
    <t xml:space="preserve">STP — Phasing a Lumpsum Into Equity</t>
  </si>
  <si>
    <t xml:space="preserve">₹5,00,000 moved from a debt/liquid fund into Parag Parikh Flexi Cap (Direct) over 10 months, vs investing it all on Day 1</t>
  </si>
  <si>
    <t xml:space="preserve">Transfer Date</t>
  </si>
  <si>
    <t xml:space="preserve">Source — Opening Bal. (₹)</t>
  </si>
  <si>
    <t xml:space="preserve">Transfer Out (₹)</t>
  </si>
  <si>
    <t xml:space="preserve">Source — Bal. After Transfer (₹)</t>
  </si>
  <si>
    <t xml:space="preserve">Source — Growth (₹)</t>
  </si>
  <si>
    <t xml:space="preserve">Source — Closing Bal. (₹)</t>
  </si>
  <si>
    <t xml:space="preserve">Destination NAV (₹)</t>
  </si>
  <si>
    <t xml:space="preserve">Units Bought</t>
  </si>
  <si>
    <t xml:space="preserve">Cum. Units</t>
  </si>
  <si>
    <t xml:space="preserve">Destination Value (₹)</t>
  </si>
  <si>
    <t xml:space="preserve">Total transferred (₹)</t>
  </si>
  <si>
    <t xml:space="preserve">STP approach — destination value at end of transfer window (₹)</t>
  </si>
  <si>
    <t xml:space="preserve">If invested as lumpsum on Day 1 instead — value on the same end date (₹)</t>
  </si>
  <si>
    <t xml:space="preserve">STP result vs Day-1 lumpsum (₹)</t>
  </si>
  <si>
    <t xml:space="preserve">Why this matters (read before presenting): this model uses a smooth, steadily-rising NAV path (a constant assumed CAGR), so a Day-1 lumpsum will almost always out-produce an STP here — there is no dip for the STP to average into. In real markets, which move up and down, STP's actual value shows up precisely when the market dips during the transfer window: phasing in means part of your money buys at the lower, dipped NAV instead of all of it going in right before a fall. Use this sheet to teach the MECHANICS of STP (how units, NAV and the source-to-destination transfer work), not as proof that STP beats or loses to lumpsum — that depends entirely on the market path, which nobody can predict in advance.</t>
  </si>
  <si>
    <t xml:space="preserve">SWP — Drawing an Income From the Corpus</t>
  </si>
  <si>
    <t xml:space="preserve">₹25,000/month withdrawn from the Fund 1 (Parag Parikh Flexi Cap, Direct) corpus for 5 years, starting the month after the 10-year SIP ends</t>
  </si>
  <si>
    <t xml:space="preserve">Starting Corpus (Fund 1 Direct value on the last SIP date, Dec-2034)</t>
  </si>
  <si>
    <t xml:space="preserve">Opening Balance (₹)</t>
  </si>
  <si>
    <t xml:space="preserve">Growth This Month (₹)</t>
  </si>
  <si>
    <t xml:space="preserve">Balance After Growth (₹)</t>
  </si>
  <si>
    <t xml:space="preserve">Withdrawal Taken (₹)</t>
  </si>
  <si>
    <t xml:space="preserve">Closing Balance (₹)</t>
  </si>
  <si>
    <t xml:space="preserve">Cumulative Withdrawn (₹)</t>
  </si>
  <si>
    <t xml:space="preserve">After 5 years (60 months):</t>
  </si>
  <si>
    <t xml:space="preserve">Total withdrawn (₹)</t>
  </si>
  <si>
    <t xml:space="preserve">Corpus remaining (₹)</t>
  </si>
  <si>
    <t xml:space="preserve">Simplified for teaching: withdrawals are shown gross, without a per-withdrawal capital-gains tax deduction. In reality each SWP instalment redeems units and triggers a capital gain exactly like the lots in the Withdrawal_Jan2036 sheet — since this corpus is over 3 years old by the time SWP starts, most/all of it would qualify for LTCG (12.5% above the ₹1,25,000/year exemption). Reduce the withdrawal amount by an estimated tax drag if you want to show a more conservative, net-of-tax number live.</t>
  </si>
</sst>
</file>

<file path=xl/styles.xml><?xml version="1.0" encoding="utf-8"?>
<styleSheet xmlns="http://schemas.openxmlformats.org/spreadsheetml/2006/main">
  <numFmts count="9">
    <numFmt numFmtId="164" formatCode="General"/>
    <numFmt numFmtId="165" formatCode="\₹#,##0.00"/>
    <numFmt numFmtId="166" formatCode="\₹#,##0"/>
    <numFmt numFmtId="167" formatCode="0.00%"/>
    <numFmt numFmtId="168" formatCode="0.0%"/>
    <numFmt numFmtId="169" formatCode="dd\-mmm\-yyyy"/>
    <numFmt numFmtId="170" formatCode="0"/>
    <numFmt numFmtId="171" formatCode="\₹#,##0.0000"/>
    <numFmt numFmtId="172" formatCode="0.0000"/>
  </numFmts>
  <fonts count="28">
    <font>
      <sz val="11"/>
      <color theme="1"/>
      <name val="Calibri"/>
      <family val="2"/>
      <charset val="1"/>
    </font>
    <font>
      <sz val="10"/>
      <name val="Arial"/>
      <family val="0"/>
    </font>
    <font>
      <sz val="10"/>
      <name val="Arial"/>
      <family val="0"/>
    </font>
    <font>
      <sz val="10"/>
      <name val="Arial"/>
      <family val="0"/>
    </font>
    <font>
      <b val="true"/>
      <sz val="16"/>
      <color rgb="FF0A2A43"/>
      <name val="Arial"/>
      <family val="0"/>
      <charset val="1"/>
    </font>
    <font>
      <i val="true"/>
      <sz val="10"/>
      <color rgb="FF51606B"/>
      <name val="Arial"/>
      <family val="0"/>
      <charset val="1"/>
    </font>
    <font>
      <sz val="10"/>
      <color rgb="FF1C1C1C"/>
      <name val="Arial"/>
      <family val="0"/>
      <charset val="1"/>
    </font>
    <font>
      <b val="true"/>
      <sz val="11"/>
      <color rgb="FF028090"/>
      <name val="Arial"/>
      <family val="0"/>
      <charset val="1"/>
    </font>
    <font>
      <b val="true"/>
      <sz val="11"/>
      <color rgb="FFFFFFFF"/>
      <name val="Arial"/>
      <family val="0"/>
      <charset val="1"/>
    </font>
    <font>
      <sz val="10"/>
      <name val="Arial"/>
      <family val="0"/>
      <charset val="1"/>
    </font>
    <font>
      <i val="true"/>
      <sz val="9"/>
      <color rgb="FF51606B"/>
      <name val="Arial"/>
      <family val="0"/>
      <charset val="1"/>
    </font>
    <font>
      <b val="true"/>
      <sz val="12"/>
      <color rgb="FF028090"/>
      <name val="Arial"/>
      <family val="0"/>
      <charset val="1"/>
    </font>
    <font>
      <b val="true"/>
      <sz val="11"/>
      <color rgb="FF0A2A43"/>
      <name val="Arial"/>
      <family val="0"/>
      <charset val="1"/>
    </font>
    <font>
      <sz val="11"/>
      <color rgb="FF0000FF"/>
      <name val="Arial"/>
      <family val="0"/>
      <charset val="1"/>
    </font>
    <font>
      <b val="true"/>
      <sz val="10"/>
      <name val="Arial"/>
      <family val="0"/>
      <charset val="1"/>
    </font>
    <font>
      <sz val="10"/>
      <color rgb="FF008000"/>
      <name val="Arial"/>
      <family val="0"/>
      <charset val="1"/>
    </font>
    <font>
      <sz val="9"/>
      <name val="Arial"/>
      <family val="0"/>
      <charset val="1"/>
    </font>
    <font>
      <b val="true"/>
      <sz val="10"/>
      <color rgb="FF0A2A43"/>
      <name val="Arial"/>
      <family val="0"/>
      <charset val="1"/>
    </font>
    <font>
      <b val="true"/>
      <sz val="13"/>
      <color rgb="FFFFFFFF"/>
      <name val="Arial"/>
      <family val="0"/>
      <charset val="1"/>
    </font>
    <font>
      <b val="true"/>
      <sz val="10"/>
      <color rgb="FFFFFFFF"/>
      <name val="Arial"/>
      <family val="0"/>
      <charset val="1"/>
    </font>
    <font>
      <b val="true"/>
      <i val="true"/>
      <sz val="10"/>
      <color rgb="FFC0392B"/>
      <name val="Arial"/>
      <family val="0"/>
      <charset val="1"/>
    </font>
    <font>
      <b val="true"/>
      <sz val="10"/>
      <color rgb="FFC0392B"/>
      <name val="Arial"/>
      <family val="0"/>
      <charset val="1"/>
    </font>
    <font>
      <b val="true"/>
      <sz val="18"/>
      <color rgb="FF000000"/>
      <name val="Calibri"/>
      <family val="2"/>
    </font>
    <font>
      <sz val="10"/>
      <color rgb="FF000000"/>
      <name val="Calibri"/>
      <family val="2"/>
    </font>
    <font>
      <b val="true"/>
      <sz val="10"/>
      <color rgb="FF000000"/>
      <name val="Calibri"/>
      <family val="2"/>
    </font>
    <font>
      <b val="true"/>
      <sz val="11"/>
      <name val="Arial"/>
      <family val="0"/>
      <charset val="1"/>
    </font>
    <font>
      <b val="true"/>
      <sz val="11"/>
      <color rgb="FFC0392B"/>
      <name val="Arial"/>
      <family val="0"/>
      <charset val="1"/>
    </font>
    <font>
      <i val="true"/>
      <sz val="9.5"/>
      <color rgb="FF51606B"/>
      <name val="Arial"/>
      <family val="0"/>
      <charset val="1"/>
    </font>
  </fonts>
  <fills count="8">
    <fill>
      <patternFill patternType="none"/>
    </fill>
    <fill>
      <patternFill patternType="gray125"/>
    </fill>
    <fill>
      <patternFill patternType="solid">
        <fgColor rgb="FF0A2A43"/>
        <bgColor rgb="FF1C1C1C"/>
      </patternFill>
    </fill>
    <fill>
      <patternFill patternType="solid">
        <fgColor rgb="FFFFFFFF"/>
        <bgColor rgb="FFF9F9F9"/>
      </patternFill>
    </fill>
    <fill>
      <patternFill patternType="solid">
        <fgColor rgb="FFF3F7F8"/>
        <bgColor rgb="FFF9F9F9"/>
      </patternFill>
    </fill>
    <fill>
      <patternFill patternType="solid">
        <fgColor rgb="FFFFF9C4"/>
        <bgColor rgb="FFFFFF99"/>
      </patternFill>
    </fill>
    <fill>
      <patternFill patternType="solid">
        <fgColor rgb="FFDCE9EC"/>
        <bgColor rgb="FFD9D9D9"/>
      </patternFill>
    </fill>
    <fill>
      <patternFill patternType="solid">
        <fgColor rgb="FF028090"/>
        <bgColor rgb="FF008080"/>
      </patternFill>
    </fill>
  </fills>
  <borders count="2">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4" fontId="8" fillId="2" borderId="0" xfId="0" applyFont="true" applyBorder="false" applyAlignment="true" applyProtection="true">
      <alignment horizontal="center" vertical="center" textRotation="0" wrapText="true" indent="0" shrinkToFit="false"/>
      <protection locked="true" hidden="false"/>
    </xf>
    <xf numFmtId="164" fontId="9" fillId="3" borderId="1" xfId="0" applyFont="true" applyBorder="true" applyAlignment="true" applyProtection="true">
      <alignment horizontal="general" vertical="center" textRotation="0" wrapText="true" indent="0" shrinkToFit="false"/>
      <protection locked="true" hidden="false"/>
    </xf>
    <xf numFmtId="165" fontId="9" fillId="3" borderId="1" xfId="0" applyFont="true" applyBorder="true" applyAlignment="true" applyProtection="true">
      <alignment horizontal="general" vertical="center" textRotation="0" wrapText="true" indent="0" shrinkToFit="false"/>
      <protection locked="true" hidden="false"/>
    </xf>
    <xf numFmtId="166" fontId="9" fillId="3" borderId="1" xfId="0" applyFont="true" applyBorder="true" applyAlignment="true" applyProtection="true">
      <alignment horizontal="general" vertical="center" textRotation="0" wrapText="true" indent="0" shrinkToFit="false"/>
      <protection locked="true" hidden="false"/>
    </xf>
    <xf numFmtId="167" fontId="9" fillId="3" borderId="1" xfId="0" applyFont="true" applyBorder="true" applyAlignment="true" applyProtection="true">
      <alignment horizontal="general" vertical="center" textRotation="0" wrapText="true" indent="0" shrinkToFit="false"/>
      <protection locked="true" hidden="false"/>
    </xf>
    <xf numFmtId="168" fontId="9" fillId="3" borderId="1" xfId="0" applyFont="true" applyBorder="true" applyAlignment="true" applyProtection="true">
      <alignment horizontal="general" vertical="center" textRotation="0" wrapText="true" indent="0" shrinkToFit="false"/>
      <protection locked="true" hidden="false"/>
    </xf>
    <xf numFmtId="164" fontId="9" fillId="4" borderId="1" xfId="0" applyFont="true" applyBorder="true" applyAlignment="true" applyProtection="true">
      <alignment horizontal="general" vertical="center" textRotation="0" wrapText="true" indent="0" shrinkToFit="false"/>
      <protection locked="true" hidden="false"/>
    </xf>
    <xf numFmtId="165" fontId="9" fillId="4" borderId="1" xfId="0" applyFont="true" applyBorder="true" applyAlignment="true" applyProtection="true">
      <alignment horizontal="general" vertical="center" textRotation="0" wrapText="true" indent="0" shrinkToFit="false"/>
      <protection locked="true" hidden="false"/>
    </xf>
    <xf numFmtId="166" fontId="9" fillId="4" borderId="1" xfId="0" applyFont="true" applyBorder="true" applyAlignment="true" applyProtection="true">
      <alignment horizontal="general" vertical="center" textRotation="0" wrapText="true" indent="0" shrinkToFit="false"/>
      <protection locked="true" hidden="false"/>
    </xf>
    <xf numFmtId="167" fontId="9" fillId="4" borderId="1" xfId="0" applyFont="true" applyBorder="true" applyAlignment="true" applyProtection="true">
      <alignment horizontal="general" vertical="center" textRotation="0" wrapText="true" indent="0" shrinkToFit="false"/>
      <protection locked="true" hidden="false"/>
    </xf>
    <xf numFmtId="164" fontId="10" fillId="0" borderId="0" xfId="0" applyFont="true" applyBorder="false" applyAlignment="true" applyProtection="true">
      <alignment horizontal="general" vertical="bottom" textRotation="0" wrapText="false" indent="0" shrinkToFit="false"/>
      <protection locked="true" hidden="false"/>
    </xf>
    <xf numFmtId="164" fontId="11" fillId="0" borderId="0" xfId="0" applyFont="true" applyBorder="false" applyAlignment="true" applyProtection="true">
      <alignment horizontal="general" vertical="bottom" textRotation="0" wrapText="false" indent="0" shrinkToFit="false"/>
      <protection locked="true" hidden="false"/>
    </xf>
    <xf numFmtId="164" fontId="12" fillId="0" borderId="0" xfId="0" applyFont="true" applyBorder="false" applyAlignment="true" applyProtection="true">
      <alignment horizontal="general" vertical="bottom" textRotation="0" wrapText="false" indent="0" shrinkToFit="false"/>
      <protection locked="true" hidden="false"/>
    </xf>
    <xf numFmtId="169" fontId="13" fillId="5" borderId="1" xfId="0" applyFont="true" applyBorder="true" applyAlignment="true" applyProtection="true">
      <alignment horizontal="general" vertical="bottom" textRotation="0" wrapText="false" indent="0" shrinkToFit="false"/>
      <protection locked="true" hidden="false"/>
    </xf>
    <xf numFmtId="166" fontId="13" fillId="5" borderId="1" xfId="0" applyFont="true" applyBorder="true" applyAlignment="true" applyProtection="true">
      <alignment horizontal="general" vertical="bottom" textRotation="0" wrapText="false" indent="0" shrinkToFit="false"/>
      <protection locked="true" hidden="false"/>
    </xf>
    <xf numFmtId="170" fontId="13" fillId="5" borderId="1" xfId="0" applyFont="true" applyBorder="true" applyAlignment="true" applyProtection="true">
      <alignment horizontal="general" vertical="bottom" textRotation="0" wrapText="false" indent="0" shrinkToFit="false"/>
      <protection locked="true" hidden="false"/>
    </xf>
    <xf numFmtId="168" fontId="13" fillId="5" borderId="1" xfId="0" applyFont="true" applyBorder="true" applyAlignment="true" applyProtection="true">
      <alignment horizontal="general" vertical="bottom" textRotation="0" wrapText="false" indent="0" shrinkToFit="false"/>
      <protection locked="true" hidden="false"/>
    </xf>
    <xf numFmtId="164" fontId="10" fillId="0" borderId="0" xfId="0" applyFont="true" applyBorder="true" applyAlignment="true" applyProtection="true">
      <alignment horizontal="general" vertical="bottom" textRotation="0" wrapText="false" indent="0" shrinkToFit="false"/>
      <protection locked="true" hidden="false"/>
    </xf>
    <xf numFmtId="164" fontId="9" fillId="4" borderId="1" xfId="0" applyFont="true" applyBorder="true" applyAlignment="true" applyProtection="true">
      <alignment horizontal="general" vertical="bottom" textRotation="0" wrapText="false" indent="0" shrinkToFit="false"/>
      <protection locked="true" hidden="false"/>
    </xf>
    <xf numFmtId="164" fontId="14" fillId="4" borderId="1" xfId="0" applyFont="true" applyBorder="true" applyAlignment="true" applyProtection="true">
      <alignment horizontal="general" vertical="bottom" textRotation="0" wrapText="false" indent="0" shrinkToFit="false"/>
      <protection locked="true" hidden="false"/>
    </xf>
    <xf numFmtId="165" fontId="13" fillId="5" borderId="1" xfId="0" applyFont="true" applyBorder="true" applyAlignment="true" applyProtection="true">
      <alignment horizontal="general" vertical="bottom" textRotation="0" wrapText="false" indent="0" shrinkToFit="false"/>
      <protection locked="true" hidden="false"/>
    </xf>
    <xf numFmtId="167" fontId="15" fillId="4" borderId="1" xfId="0" applyFont="true" applyBorder="true" applyAlignment="true" applyProtection="true">
      <alignment horizontal="general" vertical="bottom" textRotation="0" wrapText="false" indent="0" shrinkToFit="false"/>
      <protection locked="true" hidden="false"/>
    </xf>
    <xf numFmtId="167" fontId="13" fillId="5" borderId="1" xfId="0" applyFont="true" applyBorder="true" applyAlignment="true" applyProtection="true">
      <alignment horizontal="general" vertical="bottom" textRotation="0" wrapText="false" indent="0" shrinkToFit="false"/>
      <protection locked="true" hidden="false"/>
    </xf>
    <xf numFmtId="164" fontId="9" fillId="3" borderId="1" xfId="0" applyFont="true" applyBorder="true" applyAlignment="true" applyProtection="true">
      <alignment horizontal="general" vertical="bottom" textRotation="0" wrapText="false" indent="0" shrinkToFit="false"/>
      <protection locked="true" hidden="false"/>
    </xf>
    <xf numFmtId="164" fontId="14" fillId="3" borderId="1" xfId="0" applyFont="true" applyBorder="true" applyAlignment="true" applyProtection="true">
      <alignment horizontal="general" vertical="bottom" textRotation="0" wrapText="false" indent="0" shrinkToFit="false"/>
      <protection locked="true" hidden="false"/>
    </xf>
    <xf numFmtId="167" fontId="15" fillId="3" borderId="1" xfId="0" applyFont="true" applyBorder="true" applyAlignment="true" applyProtection="true">
      <alignment horizontal="general" vertical="bottom" textRotation="0" wrapText="false" indent="0" shrinkToFit="false"/>
      <protection locked="true" hidden="false"/>
    </xf>
    <xf numFmtId="167" fontId="9" fillId="0" borderId="1" xfId="0" applyFont="true" applyBorder="true" applyAlignment="true" applyProtection="true">
      <alignment horizontal="general" vertical="bottom" textRotation="0" wrapText="false" indent="0" shrinkToFit="false"/>
      <protection locked="true" hidden="false"/>
    </xf>
    <xf numFmtId="164" fontId="16" fillId="4" borderId="1" xfId="0" applyFont="true" applyBorder="true" applyAlignment="true" applyProtection="true">
      <alignment horizontal="general" vertical="bottom" textRotation="0" wrapText="false" indent="0" shrinkToFit="false"/>
      <protection locked="true" hidden="false"/>
    </xf>
    <xf numFmtId="169" fontId="16" fillId="4" borderId="1" xfId="0" applyFont="true" applyBorder="true" applyAlignment="true" applyProtection="true">
      <alignment horizontal="general" vertical="bottom" textRotation="0" wrapText="false" indent="0" shrinkToFit="false"/>
      <protection locked="true" hidden="false"/>
    </xf>
    <xf numFmtId="166" fontId="16" fillId="4" borderId="1" xfId="0" applyFont="true" applyBorder="true" applyAlignment="true" applyProtection="true">
      <alignment horizontal="general" vertical="bottom" textRotation="0" wrapText="false" indent="0" shrinkToFit="false"/>
      <protection locked="true" hidden="false"/>
    </xf>
    <xf numFmtId="171" fontId="16" fillId="4" borderId="1" xfId="0" applyFont="true" applyBorder="true" applyAlignment="true" applyProtection="true">
      <alignment horizontal="general" vertical="bottom" textRotation="0" wrapText="false" indent="0" shrinkToFit="false"/>
      <protection locked="true" hidden="false"/>
    </xf>
    <xf numFmtId="172" fontId="16" fillId="4" borderId="1" xfId="0" applyFont="true" applyBorder="true" applyAlignment="true" applyProtection="true">
      <alignment horizontal="general" vertical="bottom" textRotation="0" wrapText="false" indent="0" shrinkToFit="false"/>
      <protection locked="true" hidden="false"/>
    </xf>
    <xf numFmtId="164" fontId="16" fillId="3" borderId="1" xfId="0" applyFont="true" applyBorder="true" applyAlignment="true" applyProtection="true">
      <alignment horizontal="general" vertical="bottom" textRotation="0" wrapText="false" indent="0" shrinkToFit="false"/>
      <protection locked="true" hidden="false"/>
    </xf>
    <xf numFmtId="169" fontId="16" fillId="3" borderId="1" xfId="0" applyFont="true" applyBorder="true" applyAlignment="true" applyProtection="true">
      <alignment horizontal="general" vertical="bottom" textRotation="0" wrapText="false" indent="0" shrinkToFit="false"/>
      <protection locked="true" hidden="false"/>
    </xf>
    <xf numFmtId="166" fontId="16" fillId="3" borderId="1" xfId="0" applyFont="true" applyBorder="true" applyAlignment="true" applyProtection="true">
      <alignment horizontal="general" vertical="bottom" textRotation="0" wrapText="false" indent="0" shrinkToFit="false"/>
      <protection locked="true" hidden="false"/>
    </xf>
    <xf numFmtId="171" fontId="16" fillId="3" borderId="1" xfId="0" applyFont="true" applyBorder="true" applyAlignment="true" applyProtection="true">
      <alignment horizontal="general" vertical="bottom" textRotation="0" wrapText="false" indent="0" shrinkToFit="false"/>
      <protection locked="true" hidden="false"/>
    </xf>
    <xf numFmtId="172" fontId="16" fillId="3" borderId="1" xfId="0" applyFont="true" applyBorder="true" applyAlignment="true" applyProtection="true">
      <alignment horizontal="general" vertical="bottom" textRotation="0" wrapText="false" indent="0" shrinkToFit="false"/>
      <protection locked="true" hidden="false"/>
    </xf>
    <xf numFmtId="164" fontId="17" fillId="0" borderId="0" xfId="0" applyFont="true" applyBorder="false" applyAlignment="true" applyProtection="true">
      <alignment horizontal="general" vertical="bottom" textRotation="0" wrapText="false" indent="0" shrinkToFit="false"/>
      <protection locked="true" hidden="false"/>
    </xf>
    <xf numFmtId="166" fontId="14" fillId="6" borderId="1" xfId="0" applyFont="true" applyBorder="true" applyAlignment="true" applyProtection="true">
      <alignment horizontal="general" vertical="bottom" textRotation="0" wrapText="false" indent="0" shrinkToFit="false"/>
      <protection locked="true" hidden="false"/>
    </xf>
    <xf numFmtId="164" fontId="18" fillId="2" borderId="0" xfId="0" applyFont="true" applyBorder="true" applyAlignment="true" applyProtection="true">
      <alignment horizontal="general" vertical="bottom" textRotation="0" wrapText="false" indent="0" shrinkToFit="false"/>
      <protection locked="true" hidden="false"/>
    </xf>
    <xf numFmtId="164" fontId="8" fillId="7" borderId="0" xfId="0" applyFont="true" applyBorder="false" applyAlignment="true" applyProtection="true">
      <alignment horizontal="center" vertical="center" textRotation="0" wrapText="true" indent="0" shrinkToFit="false"/>
      <protection locked="true" hidden="false"/>
    </xf>
    <xf numFmtId="168" fontId="16" fillId="4" borderId="1" xfId="0" applyFont="true" applyBorder="true" applyAlignment="true" applyProtection="true">
      <alignment horizontal="general" vertical="bottom" textRotation="0" wrapText="false" indent="0" shrinkToFit="false"/>
      <protection locked="true" hidden="false"/>
    </xf>
    <xf numFmtId="168" fontId="16" fillId="3" borderId="1" xfId="0" applyFont="true" applyBorder="true" applyAlignment="true" applyProtection="true">
      <alignment horizontal="general" vertical="bottom" textRotation="0" wrapText="false" indent="0" shrinkToFit="false"/>
      <protection locked="true" hidden="false"/>
    </xf>
    <xf numFmtId="164" fontId="14" fillId="6" borderId="1" xfId="0" applyFont="true" applyBorder="true" applyAlignment="true" applyProtection="true">
      <alignment horizontal="general" vertical="bottom" textRotation="0" wrapText="false" indent="0" shrinkToFit="false"/>
      <protection locked="true" hidden="false"/>
    </xf>
    <xf numFmtId="164" fontId="19" fillId="7" borderId="0" xfId="0" applyFont="true" applyBorder="false" applyAlignment="true" applyProtection="true">
      <alignment horizontal="general" vertical="bottom" textRotation="0" wrapText="false" indent="0" shrinkToFit="false"/>
      <protection locked="true" hidden="false"/>
    </xf>
    <xf numFmtId="166" fontId="19" fillId="7" borderId="0" xfId="0" applyFont="true" applyBorder="false" applyAlignment="true" applyProtection="true">
      <alignment horizontal="general" vertical="bottom" textRotation="0" wrapText="false" indent="0" shrinkToFit="false"/>
      <protection locked="true" hidden="false"/>
    </xf>
    <xf numFmtId="164" fontId="20" fillId="0" borderId="0" xfId="0" applyFont="true" applyBorder="false" applyAlignment="true" applyProtection="true">
      <alignment horizontal="general" vertical="bottom" textRotation="0" wrapText="false" indent="0" shrinkToFit="false"/>
      <protection locked="true" hidden="false"/>
    </xf>
    <xf numFmtId="166" fontId="21" fillId="0" borderId="0" xfId="0" applyFont="true" applyBorder="false" applyAlignment="true" applyProtection="true">
      <alignment horizontal="general" vertical="bottom" textRotation="0" wrapText="false" indent="0" shrinkToFit="false"/>
      <protection locked="true" hidden="false"/>
    </xf>
    <xf numFmtId="168" fontId="9" fillId="4" borderId="1" xfId="0" applyFont="true" applyBorder="true" applyAlignment="true" applyProtection="true">
      <alignment horizontal="general" vertical="center" textRotation="0" wrapText="true" indent="0" shrinkToFit="false"/>
      <protection locked="true" hidden="false"/>
    </xf>
    <xf numFmtId="169" fontId="9" fillId="3" borderId="1" xfId="0" applyFont="true" applyBorder="true" applyAlignment="true" applyProtection="true">
      <alignment horizontal="general" vertical="bottom" textRotation="0" wrapText="false" indent="0" shrinkToFit="false"/>
      <protection locked="true" hidden="false"/>
    </xf>
    <xf numFmtId="166" fontId="9" fillId="3" borderId="1" xfId="0" applyFont="true" applyBorder="true" applyAlignment="true" applyProtection="true">
      <alignment horizontal="general" vertical="bottom" textRotation="0" wrapText="false" indent="0" shrinkToFit="false"/>
      <protection locked="true" hidden="false"/>
    </xf>
    <xf numFmtId="171" fontId="9" fillId="3" borderId="1" xfId="0" applyFont="true" applyBorder="true" applyAlignment="true" applyProtection="true">
      <alignment horizontal="general" vertical="bottom" textRotation="0" wrapText="false" indent="0" shrinkToFit="false"/>
      <protection locked="true" hidden="false"/>
    </xf>
    <xf numFmtId="172" fontId="9" fillId="3" borderId="1" xfId="0" applyFont="true" applyBorder="true" applyAlignment="true" applyProtection="true">
      <alignment horizontal="general" vertical="bottom" textRotation="0" wrapText="false" indent="0" shrinkToFit="false"/>
      <protection locked="true" hidden="false"/>
    </xf>
    <xf numFmtId="169" fontId="9" fillId="4" borderId="1" xfId="0" applyFont="true" applyBorder="true" applyAlignment="true" applyProtection="true">
      <alignment horizontal="general" vertical="bottom" textRotation="0" wrapText="false" indent="0" shrinkToFit="false"/>
      <protection locked="true" hidden="false"/>
    </xf>
    <xf numFmtId="166" fontId="9" fillId="4" borderId="1" xfId="0" applyFont="true" applyBorder="true" applyAlignment="true" applyProtection="true">
      <alignment horizontal="general" vertical="bottom" textRotation="0" wrapText="false" indent="0" shrinkToFit="false"/>
      <protection locked="true" hidden="false"/>
    </xf>
    <xf numFmtId="171" fontId="9" fillId="4" borderId="1" xfId="0" applyFont="true" applyBorder="true" applyAlignment="true" applyProtection="true">
      <alignment horizontal="general" vertical="bottom" textRotation="0" wrapText="false" indent="0" shrinkToFit="false"/>
      <protection locked="true" hidden="false"/>
    </xf>
    <xf numFmtId="172" fontId="9" fillId="4" borderId="1" xfId="0" applyFont="true" applyBorder="true" applyAlignment="true" applyProtection="true">
      <alignment horizontal="general" vertical="bottom" textRotation="0" wrapText="false" indent="0" shrinkToFit="false"/>
      <protection locked="true" hidden="false"/>
    </xf>
    <xf numFmtId="166" fontId="25" fillId="0" borderId="0" xfId="0" applyFont="true" applyBorder="false" applyAlignment="true" applyProtection="true">
      <alignment horizontal="general" vertical="bottom" textRotation="0" wrapText="false" indent="0" shrinkToFit="false"/>
      <protection locked="true" hidden="false"/>
    </xf>
    <xf numFmtId="164" fontId="26" fillId="0" borderId="0" xfId="0" applyFont="true" applyBorder="false" applyAlignment="true" applyProtection="true">
      <alignment horizontal="general" vertical="bottom" textRotation="0" wrapText="false" indent="0" shrinkToFit="false"/>
      <protection locked="true" hidden="false"/>
    </xf>
    <xf numFmtId="166" fontId="26" fillId="0" borderId="0" xfId="0" applyFont="true" applyBorder="false" applyAlignment="true" applyProtection="true">
      <alignment horizontal="general" vertical="bottom" textRotation="0" wrapText="false" indent="0" shrinkToFit="false"/>
      <protection locked="true" hidden="false"/>
    </xf>
    <xf numFmtId="164" fontId="27" fillId="0" borderId="0" xfId="0" applyFont="true" applyBorder="true" applyAlignment="true" applyProtection="true">
      <alignment horizontal="general" vertical="top" textRotation="0" wrapText="true" indent="0" shrinkToFit="false"/>
      <protection locked="true" hidden="false"/>
    </xf>
    <xf numFmtId="166" fontId="11" fillId="6" borderId="0" xfId="0" applyFont="true" applyBorder="false" applyAlignment="true" applyProtection="true">
      <alignment horizontal="general" vertical="bottom" textRotation="0" wrapText="false" indent="0" shrinkToFit="false"/>
      <protection locked="true" hidden="false"/>
    </xf>
    <xf numFmtId="164" fontId="9" fillId="0" borderId="0" xfId="0" applyFont="true" applyBorder="false" applyAlignment="true" applyProtection="true">
      <alignment horizontal="general" vertical="bottom" textRotation="0" wrapText="false" indent="0" shrinkToFit="false"/>
      <protection locked="true" hidden="false"/>
    </xf>
    <xf numFmtId="166" fontId="14"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28090"/>
      <rgbColor rgb="FFC0C0C0"/>
      <rgbColor rgb="FF878787"/>
      <rgbColor rgb="FF9999FF"/>
      <rgbColor rgb="FFC0504D"/>
      <rgbColor rgb="FFFFF9C4"/>
      <rgbColor rgb="FFDCE9EC"/>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F3F7F8"/>
      <rgbColor rgb="FFF9F9F9"/>
      <rgbColor rgb="FFFFFF99"/>
      <rgbColor rgb="FF99CCFF"/>
      <rgbColor rgb="FFFF99CC"/>
      <rgbColor rgb="FFCC99FF"/>
      <rgbColor rgb="FFFFCC99"/>
      <rgbColor rgb="FF4A7EBB"/>
      <rgbColor rgb="FF33CCCC"/>
      <rgbColor rgb="FF99CC00"/>
      <rgbColor rgb="FFFFCC00"/>
      <rgbColor rgb="FFFF9900"/>
      <rgbColor rgb="FFFF6600"/>
      <rgbColor rgb="FF51606B"/>
      <rgbColor rgb="FF969696"/>
      <rgbColor rgb="FF0A2A43"/>
      <rgbColor rgb="FF4F81BD"/>
      <rgbColor rgb="FF003300"/>
      <rgbColor rgb="FF333300"/>
      <rgbColor rgb="FFC0392B"/>
      <rgbColor rgb="FF993366"/>
      <rgbColor rgb="FF333399"/>
      <rgbColor rgb="FF1C1C1C"/>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10-Year Final Value: Direct vs Regular</a:t>
            </a:r>
          </a:p>
        </c:rich>
      </c:tx>
      <c:overlay val="0"/>
      <c:spPr>
        <a:noFill/>
        <a:ln w="0">
          <a:noFill/>
        </a:ln>
      </c:spPr>
    </c:title>
    <c:autoTitleDeleted val="0"/>
    <c:plotArea>
      <c:barChart>
        <c:barDir val="col"/>
        <c:grouping val="clustered"/>
        <c:varyColors val="0"/>
        <c:ser>
          <c:idx val="0"/>
          <c:order val="0"/>
          <c:tx>
            <c:strRef>
              <c:f>10Yr_Summary!D4</c:f>
              <c:strCache>
                <c:ptCount val="1"/>
                <c:pt idx="0">
                  <c:v>Direct — Final Value (₹)</c:v>
                </c:pt>
              </c:strCache>
            </c:strRef>
          </c:tx>
          <c:spPr>
            <a:solidFill>
              <a:srgbClr val="4f81bd"/>
            </a:solidFill>
            <a:ln w="9360">
              <a:solidFill>
                <a:srgbClr val="f9f9f9"/>
              </a:solidFill>
              <a:round/>
            </a:ln>
          </c:spPr>
          <c:invertIfNegative val="0"/>
          <c:dLbls>
            <c:txPr>
              <a:bodyPr wrap="non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10Yr_Summary!$A$5:$A$7</c:f>
              <c:strCache>
                <c:ptCount val="3"/>
                <c:pt idx="0">
                  <c:v>Parag Parikh Flexi Cap Fund</c:v>
                </c:pt>
                <c:pt idx="1">
                  <c:v>HDFC Mid-Cap Opportunities Fund</c:v>
                </c:pt>
                <c:pt idx="2">
                  <c:v>SBI Small Cap Fund</c:v>
                </c:pt>
              </c:strCache>
            </c:strRef>
          </c:cat>
          <c:val>
            <c:numRef>
              <c:f>10Yr_Summary!$D$5:$D$7</c:f>
              <c:numCache>
                <c:formatCode>\₹#,##0</c:formatCode>
                <c:ptCount val="3"/>
                <c:pt idx="0">
                  <c:v>1461867.71569471</c:v>
                </c:pt>
                <c:pt idx="1">
                  <c:v>1590928.91225411</c:v>
                </c:pt>
                <c:pt idx="2">
                  <c:v>1660239.05865887</c:v>
                </c:pt>
              </c:numCache>
            </c:numRef>
          </c:val>
        </c:ser>
        <c:ser>
          <c:idx val="1"/>
          <c:order val="1"/>
          <c:tx>
            <c:strRef>
              <c:f>10Yr_Summary!E4</c:f>
              <c:strCache>
                <c:ptCount val="1"/>
                <c:pt idx="0">
                  <c:v>Regular — Final Value (₹)</c:v>
                </c:pt>
              </c:strCache>
            </c:strRef>
          </c:tx>
          <c:spPr>
            <a:solidFill>
              <a:srgbClr val="c0504d"/>
            </a:solidFill>
            <a:ln w="9360">
              <a:solidFill>
                <a:srgbClr val="f9f9f9"/>
              </a:solidFill>
              <a:round/>
            </a:ln>
          </c:spPr>
          <c:invertIfNegative val="0"/>
          <c:dLbls>
            <c:txPr>
              <a:bodyPr wrap="non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10Yr_Summary!$A$5:$A$7</c:f>
              <c:strCache>
                <c:ptCount val="3"/>
                <c:pt idx="0">
                  <c:v>Parag Parikh Flexi Cap Fund</c:v>
                </c:pt>
                <c:pt idx="1">
                  <c:v>HDFC Mid-Cap Opportunities Fund</c:v>
                </c:pt>
                <c:pt idx="2">
                  <c:v>SBI Small Cap Fund</c:v>
                </c:pt>
              </c:strCache>
            </c:strRef>
          </c:cat>
          <c:val>
            <c:numRef>
              <c:f>10Yr_Summary!$E$5:$E$7</c:f>
              <c:numCache>
                <c:formatCode>\₹#,##0</c:formatCode>
                <c:ptCount val="3"/>
                <c:pt idx="0">
                  <c:v>1430285.39366736</c:v>
                </c:pt>
                <c:pt idx="1">
                  <c:v>1558819.16165962</c:v>
                </c:pt>
                <c:pt idx="2">
                  <c:v>1605210.38549641</c:v>
                </c:pt>
              </c:numCache>
            </c:numRef>
          </c:val>
        </c:ser>
        <c:gapWidth val="150"/>
        <c:overlap val="0"/>
        <c:axId val="33857864"/>
        <c:axId val="44251922"/>
      </c:barChart>
      <c:catAx>
        <c:axId val="33857864"/>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Fund</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4251922"/>
        <c:crosses val="autoZero"/>
        <c:auto val="1"/>
        <c:lblAlgn val="ctr"/>
        <c:lblOffset val="100"/>
        <c:noMultiLvlLbl val="0"/>
      </c:catAx>
      <c:valAx>
        <c:axId val="44251922"/>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Value (₹)</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3857864"/>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10-Year Commission / Cost Drag (Direct − Regular)</a:t>
            </a:r>
          </a:p>
        </c:rich>
      </c:tx>
      <c:overlay val="0"/>
      <c:spPr>
        <a:noFill/>
        <a:ln w="0">
          <a:noFill/>
        </a:ln>
      </c:spPr>
    </c:title>
    <c:autoTitleDeleted val="0"/>
    <c:plotArea>
      <c:barChart>
        <c:barDir val="col"/>
        <c:grouping val="clustered"/>
        <c:varyColors val="0"/>
        <c:ser>
          <c:idx val="0"/>
          <c:order val="0"/>
          <c:tx>
            <c:strRef>
              <c:f>10Yr_Summary!F4</c:f>
              <c:strCache>
                <c:ptCount val="1"/>
                <c:pt idx="0">
                  <c:v>Commission/Cost Gap (₹)</c:v>
                </c:pt>
              </c:strCache>
            </c:strRef>
          </c:tx>
          <c:spPr>
            <a:solidFill>
              <a:srgbClr val="c0504d"/>
            </a:solidFill>
            <a:ln w="9360">
              <a:solidFill>
                <a:srgbClr val="f9f9f9"/>
              </a:solidFill>
              <a:round/>
            </a:ln>
          </c:spPr>
          <c:invertIfNegative val="0"/>
          <c:dLbls>
            <c:txPr>
              <a:bodyPr wrap="non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10Yr_Summary!$A$5:$A$7</c:f>
              <c:strCache>
                <c:ptCount val="3"/>
                <c:pt idx="0">
                  <c:v>Parag Parikh Flexi Cap Fund</c:v>
                </c:pt>
                <c:pt idx="1">
                  <c:v>HDFC Mid-Cap Opportunities Fund</c:v>
                </c:pt>
                <c:pt idx="2">
                  <c:v>SBI Small Cap Fund</c:v>
                </c:pt>
              </c:strCache>
            </c:strRef>
          </c:cat>
          <c:val>
            <c:numRef>
              <c:f>10Yr_Summary!$F$5:$F$7</c:f>
              <c:numCache>
                <c:formatCode>\₹#,##0</c:formatCode>
                <c:ptCount val="3"/>
                <c:pt idx="0">
                  <c:v>31582.322027344</c:v>
                </c:pt>
                <c:pt idx="1">
                  <c:v>32109.75059449</c:v>
                </c:pt>
                <c:pt idx="2">
                  <c:v>55028.673162462</c:v>
                </c:pt>
              </c:numCache>
            </c:numRef>
          </c:val>
        </c:ser>
        <c:gapWidth val="150"/>
        <c:overlap val="0"/>
        <c:axId val="61379678"/>
        <c:axId val="998919"/>
      </c:barChart>
      <c:catAx>
        <c:axId val="61379678"/>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98919"/>
        <c:crosses val="autoZero"/>
        <c:auto val="1"/>
        <c:lblAlgn val="ctr"/>
        <c:lblOffset val="100"/>
        <c:noMultiLvlLbl val="0"/>
      </c:catAx>
      <c:valAx>
        <c:axId val="998919"/>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Value (₹)</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1379678"/>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SWP: Corpus Balance Over 5 Years</a:t>
            </a:r>
          </a:p>
        </c:rich>
      </c:tx>
      <c:overlay val="0"/>
      <c:spPr>
        <a:noFill/>
        <a:ln w="0">
          <a:noFill/>
        </a:ln>
      </c:spPr>
    </c:title>
    <c:autoTitleDeleted val="0"/>
    <c:plotArea>
      <c:lineChart>
        <c:grouping val="standard"/>
        <c:varyColors val="0"/>
        <c:ser>
          <c:idx val="0"/>
          <c:order val="0"/>
          <c:tx>
            <c:strRef>
              <c:f>SWP_Illustration!G6</c:f>
              <c:strCache>
                <c:ptCount val="1"/>
                <c:pt idx="0">
                  <c:v>Closing Balance (₹)</c:v>
                </c:pt>
              </c:strCache>
            </c:strRef>
          </c:tx>
          <c:spPr>
            <a:solidFill>
              <a:srgbClr val="4a7ebb"/>
            </a:solidFill>
            <a:ln w="47520">
              <a:solidFill>
                <a:srgbClr val="4a7ebb"/>
              </a:solidFill>
              <a:round/>
            </a:ln>
          </c:spPr>
          <c:marker>
            <c:symbol val="none"/>
          </c:marker>
          <c:dLbls>
            <c:txPr>
              <a:bodyPr wrap="non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val>
            <c:numRef>
              <c:f>SWP_Illustration!$G$7:$G$66</c:f>
              <c:numCache>
                <c:formatCode>\₹#,##0</c:formatCode>
                <c:ptCount val="60"/>
                <c:pt idx="0">
                  <c:v>1450739.07574669</c:v>
                </c:pt>
                <c:pt idx="1">
                  <c:v>1439504.83843855</c:v>
                </c:pt>
                <c:pt idx="2">
                  <c:v>1428164.00177883</c:v>
                </c:pt>
                <c:pt idx="3">
                  <c:v>1416715.55426833</c:v>
                </c:pt>
                <c:pt idx="4">
                  <c:v>1405158.47480999</c:v>
                </c:pt>
                <c:pt idx="5">
                  <c:v>1393491.73261773</c:v>
                </c:pt>
                <c:pt idx="6">
                  <c:v>1381714.2871246</c:v>
                </c:pt>
                <c:pt idx="7">
                  <c:v>1369825.08788988</c:v>
                </c:pt>
                <c:pt idx="8">
                  <c:v>1357823.07450546</c:v>
                </c:pt>
                <c:pt idx="9">
                  <c:v>1345707.17650124</c:v>
                </c:pt>
                <c:pt idx="10">
                  <c:v>1333476.31324965</c:v>
                </c:pt>
                <c:pt idx="11">
                  <c:v>1321129.39386924</c:v>
                </c:pt>
                <c:pt idx="12">
                  <c:v>1308665.31712746</c:v>
                </c:pt>
                <c:pt idx="13">
                  <c:v>1296082.97134235</c:v>
                </c:pt>
                <c:pt idx="14">
                  <c:v>1283381.23428346</c:v>
                </c:pt>
                <c:pt idx="15">
                  <c:v>1270558.9730717</c:v>
                </c:pt>
                <c:pt idx="16">
                  <c:v>1257615.04407836</c:v>
                </c:pt>
                <c:pt idx="17">
                  <c:v>1244548.29282303</c:v>
                </c:pt>
                <c:pt idx="18">
                  <c:v>1231357.55387072</c:v>
                </c:pt>
                <c:pt idx="19">
                  <c:v>1218041.65072783</c:v>
                </c:pt>
                <c:pt idx="20">
                  <c:v>1204599.39573729</c:v>
                </c:pt>
                <c:pt idx="21">
                  <c:v>1191029.58997256</c:v>
                </c:pt>
                <c:pt idx="22">
                  <c:v>1177331.02313077</c:v>
                </c:pt>
                <c:pt idx="23">
                  <c:v>1163502.47342472</c:v>
                </c:pt>
                <c:pt idx="24">
                  <c:v>1149542.70747393</c:v>
                </c:pt>
                <c:pt idx="25">
                  <c:v>1135450.48019461</c:v>
                </c:pt>
                <c:pt idx="26">
                  <c:v>1121224.53468865</c:v>
                </c:pt>
                <c:pt idx="27">
                  <c:v>1106863.60213148</c:v>
                </c:pt>
                <c:pt idx="28">
                  <c:v>1092366.40165893</c:v>
                </c:pt>
                <c:pt idx="29">
                  <c:v>1077731.64025297</c:v>
                </c:pt>
                <c:pt idx="30">
                  <c:v>1062958.01262638</c:v>
                </c:pt>
                <c:pt idx="31">
                  <c:v>1048044.20110635</c:v>
                </c:pt>
                <c:pt idx="32">
                  <c:v>1032988.87551693</c:v>
                </c:pt>
                <c:pt idx="33">
                  <c:v>1017790.69306044</c:v>
                </c:pt>
                <c:pt idx="34">
                  <c:v>1002448.29819764</c:v>
                </c:pt>
                <c:pt idx="35">
                  <c:v>986960.322526862</c:v>
                </c:pt>
                <c:pt idx="36">
                  <c:v>971325.384661968</c:v>
                </c:pt>
                <c:pt idx="37">
                  <c:v>955542.09010913</c:v>
                </c:pt>
                <c:pt idx="38">
                  <c:v>939609.031142454</c:v>
                </c:pt>
                <c:pt idx="39">
                  <c:v>923524.786678429</c:v>
                </c:pt>
                <c:pt idx="40">
                  <c:v>907287.922149176</c:v>
                </c:pt>
                <c:pt idx="41">
                  <c:v>890896.989374497</c:v>
                </c:pt>
                <c:pt idx="42">
                  <c:v>874350.526432716</c:v>
                </c:pt>
                <c:pt idx="43">
                  <c:v>857647.057530279</c:v>
                </c:pt>
                <c:pt idx="44">
                  <c:v>840785.092870138</c:v>
                </c:pt>
                <c:pt idx="45">
                  <c:v>823763.128518867</c:v>
                </c:pt>
                <c:pt idx="46">
                  <c:v>806579.646272527</c:v>
                </c:pt>
                <c:pt idx="47">
                  <c:v>789233.113521256</c:v>
                </c:pt>
                <c:pt idx="48">
                  <c:v>771721.983112576</c:v>
                </c:pt>
                <c:pt idx="49">
                  <c:v>754044.693213397</c:v>
                </c:pt>
                <c:pt idx="50">
                  <c:v>736199.66717072</c:v>
                </c:pt>
                <c:pt idx="51">
                  <c:v>718185.313371012</c:v>
                </c:pt>
                <c:pt idx="52">
                  <c:v>700000.025098248</c:v>
                </c:pt>
                <c:pt idx="53">
                  <c:v>681642.180390608</c:v>
                </c:pt>
                <c:pt idx="54">
                  <c:v>663110.141895813</c:v>
                </c:pt>
                <c:pt idx="55">
                  <c:v>644402.256725084</c:v>
                </c:pt>
                <c:pt idx="56">
                  <c:v>625516.856305726</c:v>
                </c:pt>
                <c:pt idx="57">
                  <c:v>606452.256232303</c:v>
                </c:pt>
                <c:pt idx="58">
                  <c:v>587206.756116402</c:v>
                </c:pt>
                <c:pt idx="59">
                  <c:v>567778.639434978</c:v>
                </c:pt>
              </c:numCache>
            </c:numRef>
          </c:val>
          <c:smooth val="1"/>
        </c:ser>
        <c:hiLowLines>
          <c:spPr>
            <a:ln w="0">
              <a:noFill/>
            </a:ln>
          </c:spPr>
        </c:hiLowLines>
        <c:marker val="0"/>
        <c:axId val="55078200"/>
        <c:axId val="66407565"/>
      </c:lineChart>
      <c:catAx>
        <c:axId val="55078200"/>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Month</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6407565"/>
        <c:crosses val="autoZero"/>
        <c:auto val="1"/>
        <c:lblAlgn val="ctr"/>
        <c:lblOffset val="100"/>
        <c:noMultiLvlLbl val="0"/>
      </c:catAx>
      <c:valAx>
        <c:axId val="66407565"/>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Closing Balance (₹)</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5078200"/>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
</Relationships>
</file>

<file path=xl/drawings/_rels/drawing2.xml.rels><?xml version="1.0" encoding="UTF-8"?>
<Relationships xmlns="http://schemas.openxmlformats.org/package/2006/relationships"><Relationship Id="rId1" Type="http://schemas.openxmlformats.org/officeDocument/2006/relationships/chart" Target="../charts/chart3.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10</xdr:row>
      <xdr:rowOff>131040</xdr:rowOff>
    </xdr:from>
    <xdr:to>
      <xdr:col>5</xdr:col>
      <xdr:colOff>135720</xdr:colOff>
      <xdr:row>29</xdr:row>
      <xdr:rowOff>110880</xdr:rowOff>
    </xdr:to>
    <xdr:graphicFrame>
      <xdr:nvGraphicFramePr>
        <xdr:cNvPr id="0" name="Chart 1"/>
        <xdr:cNvGraphicFramePr/>
      </xdr:nvGraphicFramePr>
      <xdr:xfrm>
        <a:off x="0" y="2629080"/>
        <a:ext cx="6479280" cy="35992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31</xdr:row>
      <xdr:rowOff>130680</xdr:rowOff>
    </xdr:from>
    <xdr:to>
      <xdr:col>5</xdr:col>
      <xdr:colOff>135720</xdr:colOff>
      <xdr:row>50</xdr:row>
      <xdr:rowOff>110520</xdr:rowOff>
    </xdr:to>
    <xdr:graphicFrame>
      <xdr:nvGraphicFramePr>
        <xdr:cNvPr id="1" name="Chart 2"/>
        <xdr:cNvGraphicFramePr/>
      </xdr:nvGraphicFramePr>
      <xdr:xfrm>
        <a:off x="0" y="6629400"/>
        <a:ext cx="6479280" cy="359928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73</xdr:row>
      <xdr:rowOff>131040</xdr:rowOff>
    </xdr:from>
    <xdr:to>
      <xdr:col>7</xdr:col>
      <xdr:colOff>362160</xdr:colOff>
      <xdr:row>92</xdr:row>
      <xdr:rowOff>110880</xdr:rowOff>
    </xdr:to>
    <xdr:graphicFrame>
      <xdr:nvGraphicFramePr>
        <xdr:cNvPr id="2" name="Chart 1"/>
        <xdr:cNvGraphicFramePr/>
      </xdr:nvGraphicFramePr>
      <xdr:xfrm>
        <a:off x="0" y="14725800"/>
        <a:ext cx="7199280" cy="35992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8.xml.rels><?xml version="1.0" encoding="UTF-8"?>
<Relationships xmlns="http://schemas.openxmlformats.org/package/2006/relationships"><Relationship Id="rId1" Type="http://schemas.openxmlformats.org/officeDocument/2006/relationships/drawing" Target="../drawings/drawing1.xml"/>
</Relationships>
</file>

<file path=xl/worksheets/_rels/sheet10.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4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00"/>
  </cols>
  <sheetData>
    <row r="1" customFormat="false" ht="19.7" hidden="false" customHeight="false" outlineLevel="0" collapsed="false">
      <c r="A1" s="2" t="s">
        <v>0</v>
      </c>
    </row>
    <row r="2" customFormat="false" ht="15" hidden="false" customHeight="false" outlineLevel="0" collapsed="false">
      <c r="A2" s="3" t="s">
        <v>1</v>
      </c>
    </row>
    <row r="3" customFormat="false" ht="13.5" hidden="false" customHeight="true" outlineLevel="0" collapsed="false">
      <c r="A3" s="4"/>
    </row>
    <row r="4" customFormat="false" ht="13.5" hidden="false" customHeight="true" outlineLevel="0" collapsed="false">
      <c r="A4" s="5" t="s">
        <v>2</v>
      </c>
    </row>
    <row r="5" customFormat="false" ht="13.5" hidden="false" customHeight="true" outlineLevel="0" collapsed="false">
      <c r="A5" s="4" t="s">
        <v>3</v>
      </c>
    </row>
    <row r="6" customFormat="false" ht="13.5" hidden="false" customHeight="true" outlineLevel="0" collapsed="false">
      <c r="A6" s="4" t="s">
        <v>4</v>
      </c>
    </row>
    <row r="7" customFormat="false" ht="13.5" hidden="false" customHeight="true" outlineLevel="0" collapsed="false">
      <c r="A7" s="4" t="s">
        <v>5</v>
      </c>
    </row>
    <row r="8" customFormat="false" ht="13.5" hidden="false" customHeight="true" outlineLevel="0" collapsed="false">
      <c r="A8" s="4"/>
    </row>
    <row r="9" customFormat="false" ht="13.5" hidden="false" customHeight="true" outlineLevel="0" collapsed="false">
      <c r="A9" s="5" t="s">
        <v>6</v>
      </c>
    </row>
    <row r="10" customFormat="false" ht="13.5" hidden="false" customHeight="true" outlineLevel="0" collapsed="false">
      <c r="A10" s="4" t="s">
        <v>7</v>
      </c>
    </row>
    <row r="11" customFormat="false" ht="13.5" hidden="false" customHeight="true" outlineLevel="0" collapsed="false">
      <c r="A11" s="4" t="s">
        <v>8</v>
      </c>
    </row>
    <row r="12" customFormat="false" ht="13.5" hidden="false" customHeight="true" outlineLevel="0" collapsed="false">
      <c r="A12" s="4" t="s">
        <v>9</v>
      </c>
    </row>
    <row r="13" customFormat="false" ht="13.5" hidden="false" customHeight="true" outlineLevel="0" collapsed="false">
      <c r="A13" s="4" t="s">
        <v>10</v>
      </c>
    </row>
    <row r="14" customFormat="false" ht="13.5" hidden="false" customHeight="true" outlineLevel="0" collapsed="false">
      <c r="A14" s="4" t="s">
        <v>11</v>
      </c>
    </row>
    <row r="15" customFormat="false" ht="13.5" hidden="false" customHeight="true" outlineLevel="0" collapsed="false">
      <c r="A15" s="4" t="s">
        <v>12</v>
      </c>
    </row>
    <row r="16" customFormat="false" ht="13.5" hidden="false" customHeight="true" outlineLevel="0" collapsed="false">
      <c r="A16" s="4" t="s">
        <v>13</v>
      </c>
    </row>
    <row r="17" customFormat="false" ht="13.5" hidden="false" customHeight="true" outlineLevel="0" collapsed="false">
      <c r="A17" s="4" t="s">
        <v>14</v>
      </c>
    </row>
    <row r="18" customFormat="false" ht="13.5" hidden="false" customHeight="true" outlineLevel="0" collapsed="false">
      <c r="A18" s="4" t="s">
        <v>15</v>
      </c>
    </row>
    <row r="19" customFormat="false" ht="13.5" hidden="false" customHeight="true" outlineLevel="0" collapsed="false">
      <c r="A19" s="4" t="s">
        <v>16</v>
      </c>
    </row>
    <row r="20" customFormat="false" ht="13.5" hidden="false" customHeight="true" outlineLevel="0" collapsed="false">
      <c r="A20" s="4"/>
    </row>
    <row r="21" customFormat="false" ht="13.5" hidden="false" customHeight="true" outlineLevel="0" collapsed="false">
      <c r="A21" s="5" t="s">
        <v>17</v>
      </c>
    </row>
    <row r="22" customFormat="false" ht="13.5" hidden="false" customHeight="true" outlineLevel="0" collapsed="false">
      <c r="A22" s="4" t="s">
        <v>18</v>
      </c>
    </row>
    <row r="23" customFormat="false" ht="13.5" hidden="false" customHeight="true" outlineLevel="0" collapsed="false">
      <c r="A23" s="4" t="s">
        <v>19</v>
      </c>
    </row>
    <row r="24" customFormat="false" ht="13.5" hidden="false" customHeight="true" outlineLevel="0" collapsed="false">
      <c r="A24" s="4" t="s">
        <v>20</v>
      </c>
    </row>
    <row r="25" customFormat="false" ht="13.5" hidden="false" customHeight="true" outlineLevel="0" collapsed="false">
      <c r="A25" s="4" t="s">
        <v>21</v>
      </c>
    </row>
    <row r="26" customFormat="false" ht="13.5" hidden="false" customHeight="true" outlineLevel="0" collapsed="false">
      <c r="A26" s="4" t="s">
        <v>22</v>
      </c>
    </row>
    <row r="27" customFormat="false" ht="13.5" hidden="false" customHeight="true" outlineLevel="0" collapsed="false">
      <c r="A27" s="4" t="s">
        <v>23</v>
      </c>
    </row>
    <row r="28" customFormat="false" ht="13.5" hidden="false" customHeight="true" outlineLevel="0" collapsed="false">
      <c r="A28" s="4" t="s">
        <v>24</v>
      </c>
    </row>
    <row r="29" customFormat="false" ht="13.5" hidden="false" customHeight="true" outlineLevel="0" collapsed="false">
      <c r="A29" s="4" t="s">
        <v>25</v>
      </c>
    </row>
    <row r="30" customFormat="false" ht="13.5" hidden="false" customHeight="true" outlineLevel="0" collapsed="false">
      <c r="A30" s="4" t="s">
        <v>26</v>
      </c>
    </row>
    <row r="31" customFormat="false" ht="13.5" hidden="false" customHeight="true" outlineLevel="0" collapsed="false">
      <c r="A31" s="4" t="s">
        <v>27</v>
      </c>
    </row>
    <row r="32" customFormat="false" ht="13.5" hidden="false" customHeight="true" outlineLevel="0" collapsed="false">
      <c r="A32" s="4"/>
    </row>
    <row r="33" customFormat="false" ht="13.5" hidden="false" customHeight="true" outlineLevel="0" collapsed="false">
      <c r="A33" s="5" t="s">
        <v>28</v>
      </c>
    </row>
    <row r="34" customFormat="false" ht="13.5" hidden="false" customHeight="true" outlineLevel="0" collapsed="false">
      <c r="A34" s="4" t="s">
        <v>29</v>
      </c>
    </row>
    <row r="35" customFormat="false" ht="13.5" hidden="false" customHeight="true" outlineLevel="0" collapsed="false">
      <c r="A35" s="4" t="s">
        <v>30</v>
      </c>
    </row>
    <row r="36" customFormat="false" ht="13.5" hidden="false" customHeight="true" outlineLevel="0" collapsed="false">
      <c r="A36" s="4" t="s">
        <v>31</v>
      </c>
    </row>
    <row r="37" customFormat="false" ht="13.5" hidden="false" customHeight="true" outlineLevel="0" collapsed="false">
      <c r="A37" s="4" t="s">
        <v>32</v>
      </c>
    </row>
    <row r="38" customFormat="false" ht="13.5" hidden="false" customHeight="true" outlineLevel="0" collapsed="false">
      <c r="A38" s="4" t="s">
        <v>33</v>
      </c>
    </row>
    <row r="39" customFormat="false" ht="13.5" hidden="false" customHeight="true" outlineLevel="0" collapsed="false">
      <c r="A39" s="4" t="s">
        <v>34</v>
      </c>
    </row>
    <row r="40" customFormat="false" ht="13.5" hidden="false" customHeight="true" outlineLevel="0" collapsed="false">
      <c r="A40" s="4" t="s">
        <v>35</v>
      </c>
    </row>
    <row r="41" customFormat="false" ht="13.5" hidden="false" customHeight="true" outlineLevel="0" collapsed="false">
      <c r="A41" s="4" t="s">
        <v>36</v>
      </c>
    </row>
    <row r="42" customFormat="false" ht="13.5" hidden="false" customHeight="true" outlineLevel="0" collapsed="false">
      <c r="A42" s="4" t="s">
        <v>37</v>
      </c>
    </row>
    <row r="43" customFormat="false" ht="13.5" hidden="false" customHeight="true" outlineLevel="0" collapsed="false">
      <c r="A43" s="4" t="s">
        <v>38</v>
      </c>
    </row>
    <row r="44" customFormat="false" ht="13.5" hidden="false" customHeight="true" outlineLevel="0" collapsed="false">
      <c r="A44" s="4" t="s">
        <v>39</v>
      </c>
    </row>
    <row r="45" customFormat="false" ht="13.5" hidden="false" customHeight="true" outlineLevel="0" collapsed="false">
      <c r="A45" s="4" t="s">
        <v>40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2" min="2" style="1" width="11"/>
    <col collapsed="false" customWidth="true" hidden="false" outlineLevel="0" max="3" min="3" style="1" width="9"/>
    <col collapsed="false" customWidth="true" hidden="false" outlineLevel="0" max="4" min="4" style="1" width="10"/>
    <col collapsed="false" customWidth="true" hidden="false" outlineLevel="0" max="7" min="5" style="1" width="12"/>
    <col collapsed="false" customWidth="true" hidden="false" outlineLevel="0" max="8" min="8" style="1" width="34"/>
    <col collapsed="false" customWidth="true" hidden="false" outlineLevel="0" max="9" min="9" style="1" width="20"/>
    <col collapsed="false" customWidth="true" hidden="false" outlineLevel="0" max="10" min="10" style="1" width="22"/>
  </cols>
  <sheetData>
    <row r="1" customFormat="false" ht="19.7" hidden="false" customHeight="false" outlineLevel="0" collapsed="false">
      <c r="A1" s="2" t="s">
        <v>41</v>
      </c>
    </row>
    <row r="2" customFormat="false" ht="15" hidden="false" customHeight="false" outlineLevel="0" collapsed="false">
      <c r="A2" s="3" t="s">
        <v>42</v>
      </c>
    </row>
    <row r="4" customFormat="false" ht="30" hidden="false" customHeight="true" outlineLevel="0" collapsed="false">
      <c r="A4" s="6" t="s">
        <v>43</v>
      </c>
      <c r="B4" s="6" t="s">
        <v>44</v>
      </c>
      <c r="C4" s="6" t="s">
        <v>45</v>
      </c>
      <c r="D4" s="6" t="s">
        <v>46</v>
      </c>
      <c r="E4" s="6" t="s">
        <v>47</v>
      </c>
      <c r="F4" s="6" t="s">
        <v>48</v>
      </c>
      <c r="G4" s="6" t="s">
        <v>49</v>
      </c>
      <c r="H4" s="6" t="s">
        <v>50</v>
      </c>
      <c r="I4" s="6" t="s">
        <v>51</v>
      </c>
      <c r="J4" s="6" t="s">
        <v>52</v>
      </c>
    </row>
    <row r="5" customFormat="false" ht="31.5" hidden="false" customHeight="true" outlineLevel="0" collapsed="false">
      <c r="A5" s="7" t="s">
        <v>53</v>
      </c>
      <c r="B5" s="7" t="s">
        <v>54</v>
      </c>
      <c r="C5" s="7" t="s">
        <v>55</v>
      </c>
      <c r="D5" s="8" t="n">
        <v>89.86</v>
      </c>
      <c r="E5" s="7" t="s">
        <v>56</v>
      </c>
      <c r="F5" s="9" t="n">
        <v>147405</v>
      </c>
      <c r="G5" s="10" t="n">
        <v>0.0053</v>
      </c>
      <c r="H5" s="7" t="s">
        <v>57</v>
      </c>
      <c r="I5" s="11" t="n">
        <v>0.1127</v>
      </c>
      <c r="J5" s="7" t="s">
        <v>58</v>
      </c>
    </row>
    <row r="6" customFormat="false" ht="31.5" hidden="false" customHeight="true" outlineLevel="0" collapsed="false">
      <c r="A6" s="12" t="s">
        <v>53</v>
      </c>
      <c r="B6" s="12" t="s">
        <v>54</v>
      </c>
      <c r="C6" s="12" t="s">
        <v>59</v>
      </c>
      <c r="D6" s="13" t="n">
        <v>83.92</v>
      </c>
      <c r="E6" s="12" t="s">
        <v>60</v>
      </c>
      <c r="F6" s="14" t="n">
        <v>143388</v>
      </c>
      <c r="G6" s="15" t="n">
        <v>0.0105</v>
      </c>
      <c r="H6" s="12" t="s">
        <v>61</v>
      </c>
      <c r="I6" s="12" t="s">
        <v>62</v>
      </c>
      <c r="J6" s="12" t="s">
        <v>63</v>
      </c>
    </row>
    <row r="7" customFormat="false" ht="31.5" hidden="false" customHeight="true" outlineLevel="0" collapsed="false">
      <c r="A7" s="7" t="s">
        <v>64</v>
      </c>
      <c r="B7" s="7" t="s">
        <v>65</v>
      </c>
      <c r="C7" s="7" t="s">
        <v>55</v>
      </c>
      <c r="D7" s="8" t="n">
        <v>228.61</v>
      </c>
      <c r="E7" s="7" t="s">
        <v>66</v>
      </c>
      <c r="F7" s="9" t="n">
        <v>100858</v>
      </c>
      <c r="G7" s="10" t="n">
        <v>0.0061</v>
      </c>
      <c r="H7" s="7" t="s">
        <v>67</v>
      </c>
      <c r="I7" s="7" t="s">
        <v>68</v>
      </c>
      <c r="J7" s="7" t="s">
        <v>69</v>
      </c>
    </row>
    <row r="8" customFormat="false" ht="31.5" hidden="false" customHeight="true" outlineLevel="0" collapsed="false">
      <c r="A8" s="12" t="s">
        <v>64</v>
      </c>
      <c r="B8" s="12" t="s">
        <v>65</v>
      </c>
      <c r="C8" s="12" t="s">
        <v>59</v>
      </c>
      <c r="D8" s="13" t="n">
        <v>202.65</v>
      </c>
      <c r="E8" s="12" t="s">
        <v>70</v>
      </c>
      <c r="F8" s="14" t="n">
        <v>105143</v>
      </c>
      <c r="G8" s="15" t="n">
        <v>0.0109</v>
      </c>
      <c r="H8" s="12" t="s">
        <v>61</v>
      </c>
      <c r="I8" s="12" t="s">
        <v>62</v>
      </c>
      <c r="J8" s="12" t="s">
        <v>71</v>
      </c>
    </row>
    <row r="9" customFormat="false" ht="31.5" hidden="false" customHeight="true" outlineLevel="0" collapsed="false">
      <c r="A9" s="7" t="s">
        <v>72</v>
      </c>
      <c r="B9" s="7" t="s">
        <v>73</v>
      </c>
      <c r="C9" s="7" t="s">
        <v>55</v>
      </c>
      <c r="D9" s="8" t="n">
        <v>206.81</v>
      </c>
      <c r="E9" s="7" t="s">
        <v>74</v>
      </c>
      <c r="F9" s="9" t="n">
        <v>37395</v>
      </c>
      <c r="G9" s="10" t="n">
        <v>0.0074</v>
      </c>
      <c r="H9" s="7" t="s">
        <v>67</v>
      </c>
      <c r="I9" s="11" t="n">
        <v>0.1548</v>
      </c>
      <c r="J9" s="7" t="s">
        <v>75</v>
      </c>
    </row>
    <row r="10" customFormat="false" ht="31.5" hidden="false" customHeight="true" outlineLevel="0" collapsed="false">
      <c r="A10" s="12" t="s">
        <v>72</v>
      </c>
      <c r="B10" s="12" t="s">
        <v>73</v>
      </c>
      <c r="C10" s="12" t="s">
        <v>59</v>
      </c>
      <c r="D10" s="13" t="n">
        <v>181.56</v>
      </c>
      <c r="E10" s="12" t="s">
        <v>76</v>
      </c>
      <c r="F10" s="14" t="n">
        <v>40157</v>
      </c>
      <c r="G10" s="15" t="n">
        <v>0.0153</v>
      </c>
      <c r="H10" s="12" t="s">
        <v>61</v>
      </c>
      <c r="I10" s="12" t="s">
        <v>62</v>
      </c>
      <c r="J10" s="12" t="s">
        <v>77</v>
      </c>
    </row>
    <row r="12" customFormat="false" ht="15" hidden="false" customHeight="false" outlineLevel="0" collapsed="false">
      <c r="A12" s="16" t="s">
        <v>78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2" min="2" style="1" width="9"/>
    <col collapsed="false" customWidth="true" hidden="false" outlineLevel="0" max="3" min="3" style="1" width="11"/>
    <col collapsed="false" customWidth="true" hidden="false" outlineLevel="0" max="6" min="4" style="1" width="12"/>
    <col collapsed="false" customWidth="true" hidden="false" outlineLevel="0" max="9" min="7" style="1" width="10"/>
  </cols>
  <sheetData>
    <row r="1" customFormat="false" ht="19.7" hidden="false" customHeight="false" outlineLevel="0" collapsed="false">
      <c r="A1" s="2" t="s">
        <v>79</v>
      </c>
    </row>
    <row r="2" customFormat="false" ht="15" hidden="false" customHeight="false" outlineLevel="0" collapsed="false">
      <c r="A2" s="3" t="s">
        <v>80</v>
      </c>
    </row>
    <row r="3" customFormat="false" ht="15" hidden="false" customHeight="false" outlineLevel="0" collapsed="false">
      <c r="A3" s="17" t="s">
        <v>81</v>
      </c>
    </row>
    <row r="4" customFormat="false" ht="15" hidden="false" customHeight="false" outlineLevel="0" collapsed="false">
      <c r="A4" s="18" t="s">
        <v>82</v>
      </c>
      <c r="C4" s="19" t="n">
        <v>45658</v>
      </c>
    </row>
    <row r="5" customFormat="false" ht="15" hidden="false" customHeight="false" outlineLevel="0" collapsed="false">
      <c r="A5" s="18" t="s">
        <v>83</v>
      </c>
      <c r="C5" s="19" t="n">
        <v>49689</v>
      </c>
      <c r="D5" s="16" t="s">
        <v>84</v>
      </c>
    </row>
    <row r="6" customFormat="false" ht="15" hidden="false" customHeight="false" outlineLevel="0" collapsed="false">
      <c r="A6" s="18" t="s">
        <v>85</v>
      </c>
      <c r="C6" s="20" t="n">
        <v>3000</v>
      </c>
    </row>
    <row r="7" customFormat="false" ht="15" hidden="false" customHeight="false" outlineLevel="0" collapsed="false">
      <c r="A7" s="18" t="s">
        <v>86</v>
      </c>
      <c r="C7" s="20" t="n">
        <v>1000</v>
      </c>
    </row>
    <row r="8" customFormat="false" ht="15" hidden="false" customHeight="false" outlineLevel="0" collapsed="false">
      <c r="A8" s="18" t="s">
        <v>87</v>
      </c>
      <c r="C8" s="21" t="n">
        <v>10</v>
      </c>
    </row>
    <row r="10" customFormat="false" ht="15" hidden="false" customHeight="false" outlineLevel="0" collapsed="false">
      <c r="A10" s="17" t="s">
        <v>88</v>
      </c>
    </row>
    <row r="11" customFormat="false" ht="15" hidden="false" customHeight="false" outlineLevel="0" collapsed="false">
      <c r="A11" s="18" t="s">
        <v>89</v>
      </c>
      <c r="C11" s="22" t="n">
        <v>0.2</v>
      </c>
    </row>
    <row r="12" customFormat="false" ht="15" hidden="false" customHeight="false" outlineLevel="0" collapsed="false">
      <c r="A12" s="18" t="s">
        <v>90</v>
      </c>
      <c r="C12" s="22" t="n">
        <v>0.125</v>
      </c>
    </row>
    <row r="13" customFormat="false" ht="15" hidden="false" customHeight="false" outlineLevel="0" collapsed="false">
      <c r="A13" s="18" t="s">
        <v>91</v>
      </c>
      <c r="C13" s="20" t="n">
        <v>125000</v>
      </c>
    </row>
    <row r="15" customFormat="false" ht="15" hidden="false" customHeight="false" outlineLevel="0" collapsed="false">
      <c r="A15" s="17" t="s">
        <v>92</v>
      </c>
    </row>
    <row r="16" customFormat="false" ht="15" hidden="false" customHeight="false" outlineLevel="0" collapsed="false">
      <c r="A16" s="23" t="s">
        <v>93</v>
      </c>
      <c r="B16" s="23"/>
      <c r="C16" s="23"/>
      <c r="D16" s="23"/>
      <c r="E16" s="23"/>
      <c r="F16" s="23"/>
      <c r="G16" s="23"/>
      <c r="H16" s="23"/>
      <c r="I16" s="23"/>
      <c r="J16" s="23"/>
    </row>
    <row r="18" customFormat="false" ht="33.75" hidden="false" customHeight="true" outlineLevel="0" collapsed="false">
      <c r="A18" s="6" t="s">
        <v>43</v>
      </c>
      <c r="B18" s="6" t="s">
        <v>45</v>
      </c>
      <c r="C18" s="6" t="s">
        <v>44</v>
      </c>
      <c r="D18" s="6" t="s">
        <v>94</v>
      </c>
      <c r="E18" s="6" t="s">
        <v>95</v>
      </c>
      <c r="F18" s="6" t="s">
        <v>96</v>
      </c>
      <c r="G18" s="6" t="s">
        <v>97</v>
      </c>
      <c r="H18" s="6" t="s">
        <v>98</v>
      </c>
      <c r="I18" s="6" t="s">
        <v>99</v>
      </c>
    </row>
    <row r="19" customFormat="false" ht="18" hidden="false" customHeight="true" outlineLevel="0" collapsed="false">
      <c r="A19" s="24" t="s">
        <v>53</v>
      </c>
      <c r="B19" s="25" t="s">
        <v>55</v>
      </c>
      <c r="C19" s="24" t="s">
        <v>54</v>
      </c>
      <c r="D19" s="26" t="n">
        <v>75</v>
      </c>
      <c r="E19" s="27" t="n">
        <f aca="false">'Fund Facts'!G5</f>
        <v>0.0053</v>
      </c>
      <c r="F19" s="28" t="n">
        <v>0.12</v>
      </c>
      <c r="G19" s="22" t="n">
        <v>0.02</v>
      </c>
      <c r="H19" s="22" t="n">
        <v>0.01</v>
      </c>
      <c r="I19" s="22" t="n">
        <v>0</v>
      </c>
    </row>
    <row r="20" customFormat="false" ht="18" hidden="false" customHeight="true" outlineLevel="0" collapsed="false">
      <c r="A20" s="29" t="s">
        <v>53</v>
      </c>
      <c r="B20" s="30" t="s">
        <v>59</v>
      </c>
      <c r="C20" s="29" t="s">
        <v>54</v>
      </c>
      <c r="D20" s="26" t="n">
        <v>70</v>
      </c>
      <c r="E20" s="31" t="n">
        <f aca="false">'Fund Facts'!G6</f>
        <v>0.0105</v>
      </c>
      <c r="F20" s="32" t="n">
        <f aca="false">F19-(E20-E19)</f>
        <v>0.1148</v>
      </c>
      <c r="G20" s="22" t="n">
        <v>0.02</v>
      </c>
      <c r="H20" s="22" t="n">
        <v>0.01</v>
      </c>
      <c r="I20" s="22" t="n">
        <v>0</v>
      </c>
    </row>
    <row r="21" customFormat="false" ht="18" hidden="false" customHeight="true" outlineLevel="0" collapsed="false">
      <c r="A21" s="24" t="s">
        <v>64</v>
      </c>
      <c r="B21" s="25" t="s">
        <v>55</v>
      </c>
      <c r="C21" s="24" t="s">
        <v>65</v>
      </c>
      <c r="D21" s="26" t="n">
        <v>190</v>
      </c>
      <c r="E21" s="27" t="n">
        <f aca="false">'Fund Facts'!G7</f>
        <v>0.0061</v>
      </c>
      <c r="F21" s="28" t="n">
        <v>0.14</v>
      </c>
      <c r="G21" s="22" t="n">
        <v>0.01</v>
      </c>
      <c r="H21" s="22" t="n">
        <v>0</v>
      </c>
      <c r="I21" s="22" t="n">
        <v>0</v>
      </c>
    </row>
    <row r="22" customFormat="false" ht="18" hidden="false" customHeight="true" outlineLevel="0" collapsed="false">
      <c r="A22" s="29" t="s">
        <v>64</v>
      </c>
      <c r="B22" s="30" t="s">
        <v>59</v>
      </c>
      <c r="C22" s="29" t="s">
        <v>65</v>
      </c>
      <c r="D22" s="26" t="n">
        <v>168</v>
      </c>
      <c r="E22" s="31" t="n">
        <f aca="false">'Fund Facts'!G8</f>
        <v>0.0109</v>
      </c>
      <c r="F22" s="32" t="n">
        <f aca="false">F21-(E22-E21)</f>
        <v>0.1352</v>
      </c>
      <c r="G22" s="22" t="n">
        <v>0.01</v>
      </c>
      <c r="H22" s="22" t="n">
        <v>0</v>
      </c>
      <c r="I22" s="22" t="n">
        <v>0</v>
      </c>
    </row>
    <row r="23" customFormat="false" ht="18" hidden="false" customHeight="true" outlineLevel="0" collapsed="false">
      <c r="A23" s="24" t="s">
        <v>72</v>
      </c>
      <c r="B23" s="25" t="s">
        <v>55</v>
      </c>
      <c r="C23" s="24" t="s">
        <v>73</v>
      </c>
      <c r="D23" s="26" t="n">
        <v>170</v>
      </c>
      <c r="E23" s="27" t="n">
        <f aca="false">'Fund Facts'!G9</f>
        <v>0.0074</v>
      </c>
      <c r="F23" s="28" t="n">
        <v>0.15</v>
      </c>
      <c r="G23" s="22" t="n">
        <v>0.01</v>
      </c>
      <c r="H23" s="22" t="n">
        <v>0</v>
      </c>
      <c r="I23" s="22" t="n">
        <v>0</v>
      </c>
    </row>
    <row r="24" customFormat="false" ht="18" hidden="false" customHeight="true" outlineLevel="0" collapsed="false">
      <c r="A24" s="29" t="s">
        <v>72</v>
      </c>
      <c r="B24" s="30" t="s">
        <v>59</v>
      </c>
      <c r="C24" s="29" t="s">
        <v>73</v>
      </c>
      <c r="D24" s="26" t="n">
        <v>149</v>
      </c>
      <c r="E24" s="31" t="n">
        <f aca="false">'Fund Facts'!G10</f>
        <v>0.0153</v>
      </c>
      <c r="F24" s="32" t="n">
        <f aca="false">F23-(E24-E23)</f>
        <v>0.1421</v>
      </c>
      <c r="G24" s="22" t="n">
        <v>0.01</v>
      </c>
      <c r="H24" s="22" t="n">
        <v>0</v>
      </c>
      <c r="I24" s="22" t="n">
        <v>0</v>
      </c>
    </row>
    <row r="26" customFormat="false" ht="15" hidden="false" customHeight="false" outlineLevel="0" collapsed="false">
      <c r="A26" s="17" t="s">
        <v>100</v>
      </c>
    </row>
    <row r="27" customFormat="false" ht="15" hidden="false" customHeight="false" outlineLevel="0" collapsed="false">
      <c r="A27" s="23" t="s">
        <v>101</v>
      </c>
      <c r="B27" s="23"/>
      <c r="C27" s="23"/>
      <c r="D27" s="23"/>
      <c r="E27" s="23"/>
      <c r="F27" s="23"/>
      <c r="G27" s="23"/>
      <c r="H27" s="23"/>
      <c r="I27" s="23"/>
      <c r="J27" s="23"/>
    </row>
    <row r="28" customFormat="false" ht="15" hidden="false" customHeight="false" outlineLevel="0" collapsed="false">
      <c r="A28" s="18" t="s">
        <v>102</v>
      </c>
      <c r="C28" s="20" t="n">
        <v>500000</v>
      </c>
    </row>
    <row r="29" customFormat="false" ht="15" hidden="false" customHeight="false" outlineLevel="0" collapsed="false">
      <c r="A29" s="18" t="s">
        <v>103</v>
      </c>
      <c r="C29" s="21" t="n">
        <v>10</v>
      </c>
    </row>
    <row r="30" customFormat="false" ht="15" hidden="false" customHeight="false" outlineLevel="0" collapsed="false">
      <c r="A30" s="18" t="s">
        <v>104</v>
      </c>
      <c r="C30" s="19" t="n">
        <v>45658</v>
      </c>
    </row>
    <row r="31" customFormat="false" ht="15" hidden="false" customHeight="false" outlineLevel="0" collapsed="false">
      <c r="A31" s="18" t="s">
        <v>105</v>
      </c>
      <c r="C31" s="22" t="n">
        <v>0.065</v>
      </c>
    </row>
    <row r="32" customFormat="false" ht="15" hidden="false" customHeight="false" outlineLevel="0" collapsed="false">
      <c r="A32" s="18" t="s">
        <v>106</v>
      </c>
      <c r="C32" s="20" t="n">
        <v>25000</v>
      </c>
    </row>
    <row r="33" customFormat="false" ht="15" hidden="false" customHeight="false" outlineLevel="0" collapsed="false">
      <c r="A33" s="18" t="s">
        <v>107</v>
      </c>
      <c r="C33" s="19" t="n">
        <v>49310</v>
      </c>
      <c r="D33" s="16" t="s">
        <v>108</v>
      </c>
    </row>
    <row r="34" customFormat="false" ht="15" hidden="false" customHeight="false" outlineLevel="0" collapsed="false">
      <c r="A34" s="18" t="s">
        <v>109</v>
      </c>
      <c r="C34" s="21" t="n">
        <v>60</v>
      </c>
    </row>
    <row r="35" customFormat="false" ht="15" hidden="false" customHeight="false" outlineLevel="0" collapsed="false">
      <c r="A35" s="18" t="s">
        <v>110</v>
      </c>
      <c r="C35" s="22" t="n">
        <v>0.12</v>
      </c>
      <c r="D35" s="16" t="s">
        <v>111</v>
      </c>
    </row>
  </sheetData>
  <mergeCells count="2">
    <mergeCell ref="A16:J16"/>
    <mergeCell ref="A27:J2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12"/>
    <col collapsed="false" customWidth="true" hidden="false" outlineLevel="0" max="4" min="3" style="1" width="13"/>
    <col collapsed="false" customWidth="true" hidden="false" outlineLevel="0" max="5" min="5" style="1" width="12"/>
    <col collapsed="false" customWidth="true" hidden="false" outlineLevel="0" max="6" min="6" style="1" width="14"/>
    <col collapsed="false" customWidth="true" hidden="false" outlineLevel="0" max="8" min="7" style="1" width="13"/>
    <col collapsed="false" customWidth="true" hidden="false" outlineLevel="0" max="9" min="9" style="1" width="12"/>
    <col collapsed="false" customWidth="true" hidden="false" outlineLevel="0" max="10" min="10" style="1" width="14"/>
    <col collapsed="false" customWidth="true" hidden="false" outlineLevel="0" max="11" min="11" style="1" width="13"/>
    <col collapsed="false" customWidth="true" hidden="false" outlineLevel="0" max="12" min="12" style="1" width="14"/>
  </cols>
  <sheetData>
    <row r="1" customFormat="false" ht="19.7" hidden="false" customHeight="false" outlineLevel="0" collapsed="false">
      <c r="A1" s="2" t="s">
        <v>112</v>
      </c>
    </row>
    <row r="2" customFormat="false" ht="15" hidden="false" customHeight="false" outlineLevel="0" collapsed="false">
      <c r="A2" s="3" t="s">
        <v>113</v>
      </c>
    </row>
    <row r="4" customFormat="false" ht="30" hidden="false" customHeight="true" outlineLevel="0" collapsed="false">
      <c r="A4" s="6" t="s">
        <v>114</v>
      </c>
      <c r="B4" s="6" t="s">
        <v>115</v>
      </c>
      <c r="C4" s="6" t="s">
        <v>116</v>
      </c>
      <c r="D4" s="6" t="s">
        <v>117</v>
      </c>
      <c r="E4" s="6" t="s">
        <v>118</v>
      </c>
      <c r="F4" s="6" t="s">
        <v>119</v>
      </c>
      <c r="G4" s="6" t="s">
        <v>120</v>
      </c>
      <c r="H4" s="6" t="s">
        <v>121</v>
      </c>
      <c r="I4" s="6" t="s">
        <v>122</v>
      </c>
      <c r="J4" s="6" t="s">
        <v>123</v>
      </c>
      <c r="K4" s="6" t="s">
        <v>124</v>
      </c>
      <c r="L4" s="6" t="s">
        <v>125</v>
      </c>
    </row>
    <row r="5" customFormat="false" ht="15" hidden="false" customHeight="false" outlineLevel="0" collapsed="false">
      <c r="A5" s="33" t="n">
        <v>1</v>
      </c>
      <c r="B5" s="34" t="n">
        <f aca="false">Assumptions!$C$4</f>
        <v>45658</v>
      </c>
      <c r="C5" s="35" t="n">
        <f aca="false">Assumptions!$C$6+(YEAR(B5)-YEAR(Assumptions!$C$4))*Assumptions!$C$7</f>
        <v>3000</v>
      </c>
      <c r="D5" s="36" t="n">
        <f aca="false">Assumptions!$D$19*(1+Assumptions!$F$19)^((B5-Assumptions!$C$4)/365)</f>
        <v>75</v>
      </c>
      <c r="E5" s="37" t="n">
        <f aca="false">C5/D5</f>
        <v>40</v>
      </c>
      <c r="F5" s="37" t="n">
        <f aca="false">E5</f>
        <v>40</v>
      </c>
      <c r="G5" s="35" t="n">
        <f aca="false">F5*D5</f>
        <v>3000</v>
      </c>
      <c r="H5" s="36" t="n">
        <f aca="false">Assumptions!$D$20*(1+Assumptions!$F$20)^((B5-Assumptions!$C$4)/365)</f>
        <v>70</v>
      </c>
      <c r="I5" s="37" t="n">
        <f aca="false">C5/H5</f>
        <v>42.8571428571429</v>
      </c>
      <c r="J5" s="37" t="n">
        <f aca="false">I5</f>
        <v>42.8571428571429</v>
      </c>
      <c r="K5" s="35" t="n">
        <f aca="false">J5*H5</f>
        <v>3000</v>
      </c>
      <c r="L5" s="35" t="n">
        <f aca="false">C5</f>
        <v>3000</v>
      </c>
    </row>
    <row r="6" customFormat="false" ht="15" hidden="false" customHeight="false" outlineLevel="0" collapsed="false">
      <c r="A6" s="33" t="n">
        <v>2</v>
      </c>
      <c r="B6" s="34" t="n">
        <f aca="false">EDATE(B5,1)</f>
        <v>45689</v>
      </c>
      <c r="C6" s="35" t="n">
        <f aca="false">Assumptions!$C$6+(YEAR(B6)-YEAR(Assumptions!$C$4))*Assumptions!$C$7</f>
        <v>3000</v>
      </c>
      <c r="D6" s="36" t="n">
        <f aca="false">Assumptions!$D$19*(1+Assumptions!$F$19)^((B6-Assumptions!$C$4)/365)</f>
        <v>75.7253735247358</v>
      </c>
      <c r="E6" s="37" t="n">
        <f aca="false">C6/D6</f>
        <v>39.6168399092815</v>
      </c>
      <c r="F6" s="37" t="n">
        <f aca="false">F5+E6</f>
        <v>79.6168399092815</v>
      </c>
      <c r="G6" s="35" t="n">
        <f aca="false">F6*D6</f>
        <v>6029.01494098943</v>
      </c>
      <c r="H6" s="36" t="n">
        <f aca="false">Assumptions!$D$20*(1+Assumptions!$F$20)^((B6-Assumptions!$C$4)/365)</f>
        <v>70.6490862073441</v>
      </c>
      <c r="I6" s="37" t="n">
        <f aca="false">C6/H6</f>
        <v>42.4633942354961</v>
      </c>
      <c r="J6" s="37" t="n">
        <f aca="false">J5+I6</f>
        <v>85.3205370926389</v>
      </c>
      <c r="K6" s="35" t="n">
        <f aca="false">J6*H6</f>
        <v>6027.81798031475</v>
      </c>
      <c r="L6" s="35" t="n">
        <f aca="false">L5+C6</f>
        <v>6000</v>
      </c>
    </row>
    <row r="7" customFormat="false" ht="15" hidden="false" customHeight="false" outlineLevel="0" collapsed="false">
      <c r="A7" s="33" t="n">
        <v>3</v>
      </c>
      <c r="B7" s="34" t="n">
        <f aca="false">EDATE(B6,1)</f>
        <v>45717</v>
      </c>
      <c r="C7" s="35" t="n">
        <f aca="false">Assumptions!$C$6+(YEAR(B7)-YEAR(Assumptions!$C$4))*Assumptions!$C$7</f>
        <v>3000</v>
      </c>
      <c r="D7" s="36" t="n">
        <f aca="false">Assumptions!$D$19*(1+Assumptions!$F$19)^((B7-Assumptions!$C$4)/365)</f>
        <v>76.3865777558799</v>
      </c>
      <c r="E7" s="37" t="n">
        <f aca="false">C7/D7</f>
        <v>39.2739154984473</v>
      </c>
      <c r="F7" s="37" t="n">
        <f aca="false">F6+E7</f>
        <v>118.890755407729</v>
      </c>
      <c r="G7" s="35" t="n">
        <f aca="false">F7*D7</f>
        <v>9081.65793240777</v>
      </c>
      <c r="H7" s="36" t="n">
        <f aca="false">Assumptions!$D$20*(1+Assumptions!$F$20)^((B7-Assumptions!$C$4)/365)</f>
        <v>71.2405293259201</v>
      </c>
      <c r="I7" s="37" t="n">
        <f aca="false">C7/H7</f>
        <v>42.1108606068215</v>
      </c>
      <c r="J7" s="37" t="n">
        <f aca="false">J6+I7</f>
        <v>127.43139769946</v>
      </c>
      <c r="K7" s="35" t="n">
        <f aca="false">J7*H7</f>
        <v>9078.2802248514</v>
      </c>
      <c r="L7" s="35" t="n">
        <f aca="false">L6+C7</f>
        <v>9000</v>
      </c>
    </row>
    <row r="8" customFormat="false" ht="15" hidden="false" customHeight="false" outlineLevel="0" collapsed="false">
      <c r="A8" s="33" t="n">
        <v>4</v>
      </c>
      <c r="B8" s="34" t="n">
        <f aca="false">EDATE(B7,1)</f>
        <v>45748</v>
      </c>
      <c r="C8" s="35" t="n">
        <f aca="false">Assumptions!$C$6+(YEAR(B8)-YEAR(Assumptions!$C$4))*Assumptions!$C$7</f>
        <v>3000</v>
      </c>
      <c r="D8" s="36" t="n">
        <f aca="false">Assumptions!$D$19*(1+Assumptions!$F$19)^((B8-Assumptions!$C$4)/365)</f>
        <v>77.1253617712037</v>
      </c>
      <c r="E8" s="37" t="n">
        <f aca="false">C8/D8</f>
        <v>38.8977105728159</v>
      </c>
      <c r="F8" s="37" t="n">
        <f aca="false">F7+E8</f>
        <v>157.788465980545</v>
      </c>
      <c r="G8" s="35" t="n">
        <f aca="false">F8*D8</f>
        <v>12169.4925220728</v>
      </c>
      <c r="H8" s="36" t="n">
        <f aca="false">Assumptions!$D$20*(1+Assumptions!$F$20)^((B8-Assumptions!$C$4)/365)</f>
        <v>71.9011185400536</v>
      </c>
      <c r="I8" s="37" t="n">
        <f aca="false">C8/H8</f>
        <v>41.7239684293479</v>
      </c>
      <c r="J8" s="37" t="n">
        <f aca="false">J7+I8</f>
        <v>169.155366128808</v>
      </c>
      <c r="K8" s="35" t="n">
        <f aca="false">J8*H8</f>
        <v>12162.4600317136</v>
      </c>
      <c r="L8" s="35" t="n">
        <f aca="false">L7+C8</f>
        <v>12000</v>
      </c>
    </row>
    <row r="9" customFormat="false" ht="15" hidden="false" customHeight="false" outlineLevel="0" collapsed="false">
      <c r="A9" s="33" t="n">
        <v>5</v>
      </c>
      <c r="B9" s="34" t="n">
        <f aca="false">EDATE(B8,1)</f>
        <v>45778</v>
      </c>
      <c r="C9" s="35" t="n">
        <f aca="false">Assumptions!$C$6+(YEAR(B9)-YEAR(Assumptions!$C$4))*Assumptions!$C$7</f>
        <v>3000</v>
      </c>
      <c r="D9" s="36" t="n">
        <f aca="false">Assumptions!$D$19*(1+Assumptions!$F$19)^((B9-Assumptions!$C$4)/365)</f>
        <v>77.8471165758647</v>
      </c>
      <c r="E9" s="37" t="n">
        <f aca="false">C9/D9</f>
        <v>38.5370728160034</v>
      </c>
      <c r="F9" s="37" t="n">
        <f aca="false">F8+E9</f>
        <v>196.325538796548</v>
      </c>
      <c r="G9" s="35" t="n">
        <f aca="false">F9*D9</f>
        <v>15283.3771055143</v>
      </c>
      <c r="H9" s="36" t="n">
        <f aca="false">Assumptions!$D$20*(1+Assumptions!$F$20)^((B9-Assumptions!$C$4)/365)</f>
        <v>72.5462300595786</v>
      </c>
      <c r="I9" s="37" t="n">
        <f aca="false">C9/H9</f>
        <v>41.3529413938705</v>
      </c>
      <c r="J9" s="37" t="n">
        <f aca="false">J8+I9</f>
        <v>210.508307522679</v>
      </c>
      <c r="K9" s="35" t="n">
        <f aca="false">J9*H9</f>
        <v>15271.5841069928</v>
      </c>
      <c r="L9" s="35" t="n">
        <f aca="false">L8+C9</f>
        <v>15000</v>
      </c>
    </row>
    <row r="10" customFormat="false" ht="15" hidden="false" customHeight="false" outlineLevel="0" collapsed="false">
      <c r="A10" s="33" t="n">
        <v>6</v>
      </c>
      <c r="B10" s="34" t="n">
        <f aca="false">EDATE(B9,1)</f>
        <v>45809</v>
      </c>
      <c r="C10" s="35" t="n">
        <f aca="false">Assumptions!$C$6+(YEAR(B10)-YEAR(Assumptions!$C$4))*Assumptions!$C$7</f>
        <v>3000</v>
      </c>
      <c r="D10" s="36" t="n">
        <f aca="false">Assumptions!$D$19*(1+Assumptions!$F$19)^((B10-Assumptions!$C$4)/365)</f>
        <v>78.60002640708</v>
      </c>
      <c r="E10" s="37" t="n">
        <f aca="false">C10/D10</f>
        <v>38.1679261080982</v>
      </c>
      <c r="F10" s="37" t="n">
        <f aca="false">F9+E10</f>
        <v>234.493464904646</v>
      </c>
      <c r="G10" s="35" t="n">
        <f aca="false">F10*D10</f>
        <v>18431.1925337929</v>
      </c>
      <c r="H10" s="36" t="n">
        <f aca="false">Assumptions!$D$20*(1+Assumptions!$F$20)^((B10-Assumptions!$C$4)/365)</f>
        <v>73.218926592814</v>
      </c>
      <c r="I10" s="37" t="n">
        <f aca="false">C10/H10</f>
        <v>40.9730125747901</v>
      </c>
      <c r="J10" s="37" t="n">
        <f aca="false">J9+I10</f>
        <v>251.481320097469</v>
      </c>
      <c r="K10" s="35" t="n">
        <f aca="false">J10*H10</f>
        <v>18413.1923156805</v>
      </c>
      <c r="L10" s="35" t="n">
        <f aca="false">L9+C10</f>
        <v>18000</v>
      </c>
    </row>
    <row r="11" customFormat="false" ht="15" hidden="false" customHeight="false" outlineLevel="0" collapsed="false">
      <c r="A11" s="38" t="n">
        <v>7</v>
      </c>
      <c r="B11" s="39" t="n">
        <f aca="false">EDATE(B10,1)</f>
        <v>45839</v>
      </c>
      <c r="C11" s="40" t="n">
        <f aca="false">Assumptions!$C$6+(YEAR(B11)-YEAR(Assumptions!$C$4))*Assumptions!$C$7</f>
        <v>3000</v>
      </c>
      <c r="D11" s="41" t="n">
        <f aca="false">Assumptions!$D$19*(1+Assumptions!$F$19)^((B11-Assumptions!$C$4)/365)</f>
        <v>79.3355814230043</v>
      </c>
      <c r="E11" s="42" t="n">
        <f aca="false">C11/D11</f>
        <v>37.814054503546</v>
      </c>
      <c r="F11" s="42" t="n">
        <f aca="false">F10+E11</f>
        <v>272.307519408192</v>
      </c>
      <c r="G11" s="40" t="n">
        <f aca="false">F11*D11</f>
        <v>21603.675378105</v>
      </c>
      <c r="H11" s="41" t="n">
        <f aca="false">Assumptions!$D$20*(1+Assumptions!$F$20)^((B11-Assumptions!$C$4)/365)</f>
        <v>73.8758617553172</v>
      </c>
      <c r="I11" s="42" t="n">
        <f aca="false">C11/H11</f>
        <v>40.6086633538874</v>
      </c>
      <c r="J11" s="42" t="n">
        <f aca="false">J10+I11</f>
        <v>292.089983451356</v>
      </c>
      <c r="K11" s="40" t="n">
        <f aca="false">J11*H11</f>
        <v>21578.3992375653</v>
      </c>
      <c r="L11" s="40" t="n">
        <f aca="false">L10+C11</f>
        <v>21000</v>
      </c>
    </row>
    <row r="12" customFormat="false" ht="15" hidden="false" customHeight="false" outlineLevel="0" collapsed="false">
      <c r="A12" s="38" t="n">
        <v>8</v>
      </c>
      <c r="B12" s="39" t="n">
        <f aca="false">EDATE(B11,1)</f>
        <v>45870</v>
      </c>
      <c r="C12" s="40" t="n">
        <f aca="false">Assumptions!$C$6+(YEAR(B12)-YEAR(Assumptions!$C$4))*Assumptions!$C$7</f>
        <v>3000</v>
      </c>
      <c r="D12" s="41" t="n">
        <f aca="false">Assumptions!$D$19*(1+Assumptions!$F$19)^((B12-Assumptions!$C$4)/365)</f>
        <v>80.1028871607879</v>
      </c>
      <c r="E12" s="42" t="n">
        <f aca="false">C12/D12</f>
        <v>37.4518335896957</v>
      </c>
      <c r="F12" s="42" t="n">
        <f aca="false">F11+E12</f>
        <v>309.759352997888</v>
      </c>
      <c r="G12" s="40" t="n">
        <f aca="false">F12*D12</f>
        <v>24812.6185001885</v>
      </c>
      <c r="H12" s="41" t="n">
        <f aca="false">Assumptions!$D$20*(1+Assumptions!$F$20)^((B12-Assumptions!$C$4)/365)</f>
        <v>74.560887511332</v>
      </c>
      <c r="I12" s="42" t="n">
        <f aca="false">C12/H12</f>
        <v>40.2355725653621</v>
      </c>
      <c r="J12" s="42" t="n">
        <f aca="false">J11+I12</f>
        <v>332.325556016718</v>
      </c>
      <c r="K12" s="40" t="n">
        <f aca="false">J12*H12</f>
        <v>24778.4883993034</v>
      </c>
      <c r="L12" s="40" t="n">
        <f aca="false">L11+C12</f>
        <v>24000</v>
      </c>
    </row>
    <row r="13" customFormat="false" ht="15" hidden="false" customHeight="false" outlineLevel="0" collapsed="false">
      <c r="A13" s="38" t="n">
        <v>9</v>
      </c>
      <c r="B13" s="39" t="n">
        <f aca="false">EDATE(B12,1)</f>
        <v>45901</v>
      </c>
      <c r="C13" s="40" t="n">
        <f aca="false">Assumptions!$C$6+(YEAR(B13)-YEAR(Assumptions!$C$4))*Assumptions!$C$7</f>
        <v>3000</v>
      </c>
      <c r="D13" s="41" t="n">
        <f aca="false">Assumptions!$D$19*(1+Assumptions!$F$19)^((B13-Assumptions!$C$4)/365)</f>
        <v>80.8776140088056</v>
      </c>
      <c r="E13" s="42" t="n">
        <f aca="false">C13/D13</f>
        <v>37.0930823908007</v>
      </c>
      <c r="F13" s="42" t="n">
        <f aca="false">F12+E13</f>
        <v>346.852435388689</v>
      </c>
      <c r="G13" s="40" t="n">
        <f aca="false">F13*D13</f>
        <v>28052.5973873806</v>
      </c>
      <c r="H13" s="41" t="n">
        <f aca="false">Assumptions!$D$20*(1+Assumptions!$F$20)^((B13-Assumptions!$C$4)/365)</f>
        <v>75.2522652783454</v>
      </c>
      <c r="I13" s="42" t="n">
        <f aca="false">C13/H13</f>
        <v>39.8659095364572</v>
      </c>
      <c r="J13" s="42" t="n">
        <f aca="false">J12+I13</f>
        <v>372.191465553176</v>
      </c>
      <c r="K13" s="40" t="n">
        <f aca="false">J13*H13</f>
        <v>28008.2509001437</v>
      </c>
      <c r="L13" s="40" t="n">
        <f aca="false">L12+C13</f>
        <v>27000</v>
      </c>
    </row>
    <row r="14" customFormat="false" ht="15" hidden="false" customHeight="false" outlineLevel="0" collapsed="false">
      <c r="A14" s="38" t="n">
        <v>10</v>
      </c>
      <c r="B14" s="39" t="n">
        <f aca="false">EDATE(B13,1)</f>
        <v>45931</v>
      </c>
      <c r="C14" s="40" t="n">
        <f aca="false">Assumptions!$C$6+(YEAR(B14)-YEAR(Assumptions!$C$4))*Assumptions!$C$7</f>
        <v>3000</v>
      </c>
      <c r="D14" s="41" t="n">
        <f aca="false">Assumptions!$D$19*(1+Assumptions!$F$19)^((B14-Assumptions!$C$4)/365)</f>
        <v>81.6344831522339</v>
      </c>
      <c r="E14" s="42" t="n">
        <f aca="false">C14/D14</f>
        <v>36.7491761343736</v>
      </c>
      <c r="F14" s="42" t="n">
        <f aca="false">F13+E14</f>
        <v>383.601611523062</v>
      </c>
      <c r="G14" s="40" t="n">
        <f aca="false">F14*D14</f>
        <v>31315.1192930492</v>
      </c>
      <c r="H14" s="41" t="n">
        <f aca="false">Assumptions!$D$20*(1+Assumptions!$F$20)^((B14-Assumptions!$C$4)/365)</f>
        <v>75.9274439707932</v>
      </c>
      <c r="I14" s="42" t="n">
        <f aca="false">C14/H14</f>
        <v>39.5114051403338</v>
      </c>
      <c r="J14" s="42" t="n">
        <f aca="false">J13+I14</f>
        <v>411.702870693509</v>
      </c>
      <c r="K14" s="40" t="n">
        <f aca="false">J14*H14</f>
        <v>31259.5466471961</v>
      </c>
      <c r="L14" s="40" t="n">
        <f aca="false">L13+C14</f>
        <v>30000</v>
      </c>
    </row>
    <row r="15" customFormat="false" ht="15" hidden="false" customHeight="false" outlineLevel="0" collapsed="false">
      <c r="A15" s="38" t="n">
        <v>11</v>
      </c>
      <c r="B15" s="39" t="n">
        <f aca="false">EDATE(B14,1)</f>
        <v>45962</v>
      </c>
      <c r="C15" s="40" t="n">
        <f aca="false">Assumptions!$C$6+(YEAR(B15)-YEAR(Assumptions!$C$4))*Assumptions!$C$7</f>
        <v>3000</v>
      </c>
      <c r="D15" s="41" t="n">
        <f aca="false">Assumptions!$D$19*(1+Assumptions!$F$19)^((B15-Assumptions!$C$4)/365)</f>
        <v>82.4240230560222</v>
      </c>
      <c r="E15" s="42" t="n">
        <f aca="false">C15/D15</f>
        <v>36.3971556928367</v>
      </c>
      <c r="F15" s="42" t="n">
        <f aca="false">F14+E15</f>
        <v>419.998767215899</v>
      </c>
      <c r="G15" s="40" t="n">
        <f aca="false">F15*D15</f>
        <v>34617.9880725041</v>
      </c>
      <c r="H15" s="41" t="n">
        <f aca="false">Assumptions!$D$20*(1+Assumptions!$F$20)^((B15-Assumptions!$C$4)/365)</f>
        <v>76.6314933513693</v>
      </c>
      <c r="I15" s="42" t="n">
        <f aca="false">C15/H15</f>
        <v>39.148395376356</v>
      </c>
      <c r="J15" s="42" t="n">
        <f aca="false">J14+I15</f>
        <v>450.851266069865</v>
      </c>
      <c r="K15" s="40" t="n">
        <f aca="false">J15*H15</f>
        <v>34549.4057982893</v>
      </c>
      <c r="L15" s="40" t="n">
        <f aca="false">L14+C15</f>
        <v>33000</v>
      </c>
    </row>
    <row r="16" customFormat="false" ht="15" hidden="false" customHeight="false" outlineLevel="0" collapsed="false">
      <c r="A16" s="38" t="n">
        <v>12</v>
      </c>
      <c r="B16" s="39" t="n">
        <f aca="false">EDATE(B15,1)</f>
        <v>45992</v>
      </c>
      <c r="C16" s="40" t="n">
        <f aca="false">Assumptions!$C$6+(YEAR(B16)-YEAR(Assumptions!$C$4))*Assumptions!$C$7</f>
        <v>3000</v>
      </c>
      <c r="D16" s="41" t="n">
        <f aca="false">Assumptions!$D$19*(1+Assumptions!$F$19)^((B16-Assumptions!$C$4)/365)</f>
        <v>83.1953638094911</v>
      </c>
      <c r="E16" s="42" t="n">
        <f aca="false">C16/D16</f>
        <v>36.0597016784456</v>
      </c>
      <c r="F16" s="42" t="n">
        <f aca="false">F15+E16</f>
        <v>456.058468894345</v>
      </c>
      <c r="G16" s="40" t="n">
        <f aca="false">F16*D16</f>
        <v>37941.9502380645</v>
      </c>
      <c r="H16" s="41" t="n">
        <f aca="false">Assumptions!$D$20*(1+Assumptions!$F$20)^((B16-Assumptions!$C$4)/365)</f>
        <v>77.3190467597607</v>
      </c>
      <c r="I16" s="42" t="n">
        <f aca="false">C16/H16</f>
        <v>38.8002714172273</v>
      </c>
      <c r="J16" s="42" t="n">
        <f aca="false">J15+I16</f>
        <v>489.651537487093</v>
      </c>
      <c r="K16" s="40" t="n">
        <f aca="false">J16*H16</f>
        <v>37859.3901229532</v>
      </c>
      <c r="L16" s="40" t="n">
        <f aca="false">L15+C16</f>
        <v>36000</v>
      </c>
    </row>
    <row r="17" customFormat="false" ht="15" hidden="false" customHeight="false" outlineLevel="0" collapsed="false">
      <c r="A17" s="33" t="n">
        <v>13</v>
      </c>
      <c r="B17" s="34" t="n">
        <f aca="false">EDATE(B16,1)</f>
        <v>46023</v>
      </c>
      <c r="C17" s="35" t="n">
        <f aca="false">Assumptions!$C$6+(YEAR(B17)-YEAR(Assumptions!$C$4))*Assumptions!$C$7</f>
        <v>4000</v>
      </c>
      <c r="D17" s="36" t="n">
        <f aca="false">Assumptions!$D$19*(1+Assumptions!$F$19)^((B17-Assumptions!$C$4)/365)</f>
        <v>84</v>
      </c>
      <c r="E17" s="37" t="n">
        <f aca="false">C17/D17</f>
        <v>47.6190476190476</v>
      </c>
      <c r="F17" s="37" t="n">
        <f aca="false">F16+E17</f>
        <v>503.677516513392</v>
      </c>
      <c r="G17" s="35" t="n">
        <f aca="false">F17*D17</f>
        <v>42308.911387125</v>
      </c>
      <c r="H17" s="36" t="n">
        <f aca="false">Assumptions!$D$20*(1+Assumptions!$F$20)^((B17-Assumptions!$C$4)/365)</f>
        <v>78.036</v>
      </c>
      <c r="I17" s="37" t="n">
        <f aca="false">C17/H17</f>
        <v>51.2583935619458</v>
      </c>
      <c r="J17" s="37" t="n">
        <f aca="false">J16+I17</f>
        <v>540.909931049038</v>
      </c>
      <c r="K17" s="35" t="n">
        <f aca="false">J17*H17</f>
        <v>42210.4473793428</v>
      </c>
      <c r="L17" s="35" t="n">
        <f aca="false">L16+C17</f>
        <v>40000</v>
      </c>
    </row>
    <row r="18" customFormat="false" ht="15" hidden="false" customHeight="false" outlineLevel="0" collapsed="false">
      <c r="A18" s="33" t="n">
        <v>14</v>
      </c>
      <c r="B18" s="34" t="n">
        <f aca="false">EDATE(B17,1)</f>
        <v>46054</v>
      </c>
      <c r="C18" s="35" t="n">
        <f aca="false">Assumptions!$C$6+(YEAR(B18)-YEAR(Assumptions!$C$4))*Assumptions!$C$7</f>
        <v>4000</v>
      </c>
      <c r="D18" s="36" t="n">
        <f aca="false">Assumptions!$D$19*(1+Assumptions!$F$19)^((B18-Assumptions!$C$4)/365)</f>
        <v>84.8124183477041</v>
      </c>
      <c r="E18" s="37" t="n">
        <f aca="false">C18/D18</f>
        <v>47.1629046539065</v>
      </c>
      <c r="F18" s="37" t="n">
        <f aca="false">F17+E18</f>
        <v>550.840421167299</v>
      </c>
      <c r="G18" s="35" t="n">
        <f aca="false">F18*D18</f>
        <v>46718.1082428664</v>
      </c>
      <c r="H18" s="36" t="n">
        <f aca="false">Assumptions!$D$20*(1+Assumptions!$F$20)^((B18-Assumptions!$C$4)/365)</f>
        <v>78.7596013039472</v>
      </c>
      <c r="I18" s="37" t="n">
        <f aca="false">C18/H18</f>
        <v>50.7874587196461</v>
      </c>
      <c r="J18" s="37" t="n">
        <f aca="false">J17+I18</f>
        <v>591.697389768685</v>
      </c>
      <c r="K18" s="35" t="n">
        <f aca="false">J18*H18</f>
        <v>46601.8505107678</v>
      </c>
      <c r="L18" s="35" t="n">
        <f aca="false">L17+C18</f>
        <v>44000</v>
      </c>
    </row>
    <row r="19" customFormat="false" ht="15" hidden="false" customHeight="false" outlineLevel="0" collapsed="false">
      <c r="A19" s="33" t="n">
        <v>15</v>
      </c>
      <c r="B19" s="34" t="n">
        <f aca="false">EDATE(B18,1)</f>
        <v>46082</v>
      </c>
      <c r="C19" s="35" t="n">
        <f aca="false">Assumptions!$C$6+(YEAR(B19)-YEAR(Assumptions!$C$4))*Assumptions!$C$7</f>
        <v>4000</v>
      </c>
      <c r="D19" s="36" t="n">
        <f aca="false">Assumptions!$D$19*(1+Assumptions!$F$19)^((B19-Assumptions!$C$4)/365)</f>
        <v>85.5529670865855</v>
      </c>
      <c r="E19" s="37" t="n">
        <f aca="false">C19/D19</f>
        <v>46.7546613076753</v>
      </c>
      <c r="F19" s="37" t="n">
        <f aca="false">F18+E19</f>
        <v>597.595082474974</v>
      </c>
      <c r="G19" s="35" t="n">
        <f aca="false">F19*D19</f>
        <v>51126.0324220868</v>
      </c>
      <c r="H19" s="36" t="n">
        <f aca="false">Assumptions!$D$20*(1+Assumptions!$F$20)^((B19-Assumptions!$C$4)/365)</f>
        <v>79.4189420925357</v>
      </c>
      <c r="I19" s="37" t="n">
        <f aca="false">C19/H19</f>
        <v>50.3658182117229</v>
      </c>
      <c r="J19" s="37" t="n">
        <f aca="false">J18+I19</f>
        <v>642.063207980407</v>
      </c>
      <c r="K19" s="35" t="n">
        <f aca="false">J19*H19</f>
        <v>50991.9807343437</v>
      </c>
      <c r="L19" s="35" t="n">
        <f aca="false">L18+C19</f>
        <v>48000</v>
      </c>
    </row>
    <row r="20" customFormat="false" ht="15" hidden="false" customHeight="false" outlineLevel="0" collapsed="false">
      <c r="A20" s="33" t="n">
        <v>16</v>
      </c>
      <c r="B20" s="34" t="n">
        <f aca="false">EDATE(B19,1)</f>
        <v>46113</v>
      </c>
      <c r="C20" s="35" t="n">
        <f aca="false">Assumptions!$C$6+(YEAR(B20)-YEAR(Assumptions!$C$4))*Assumptions!$C$7</f>
        <v>4000</v>
      </c>
      <c r="D20" s="36" t="n">
        <f aca="false">Assumptions!$D$19*(1+Assumptions!$F$19)^((B20-Assumptions!$C$4)/365)</f>
        <v>86.3804051837482</v>
      </c>
      <c r="E20" s="37" t="n">
        <f aca="false">C20/D20</f>
        <v>46.3067983009713</v>
      </c>
      <c r="F20" s="37" t="n">
        <f aca="false">F19+E20</f>
        <v>643.901880775945</v>
      </c>
      <c r="G20" s="35" t="n">
        <f aca="false">F20*D20</f>
        <v>55620.5053600037</v>
      </c>
      <c r="H20" s="36" t="n">
        <f aca="false">Assumptions!$D$20*(1+Assumptions!$F$20)^((B20-Assumptions!$C$4)/365)</f>
        <v>80.1553669484518</v>
      </c>
      <c r="I20" s="37" t="n">
        <f aca="false">C20/H20</f>
        <v>49.9030838767467</v>
      </c>
      <c r="J20" s="37" t="n">
        <f aca="false">J19+I20</f>
        <v>691.966291857154</v>
      </c>
      <c r="K20" s="35" t="n">
        <f aca="false">J20*H20</f>
        <v>55464.8120397697</v>
      </c>
      <c r="L20" s="35" t="n">
        <f aca="false">L19+C20</f>
        <v>52000</v>
      </c>
    </row>
    <row r="21" customFormat="false" ht="15" hidden="false" customHeight="false" outlineLevel="0" collapsed="false">
      <c r="A21" s="33" t="n">
        <v>17</v>
      </c>
      <c r="B21" s="34" t="n">
        <f aca="false">EDATE(B20,1)</f>
        <v>46143</v>
      </c>
      <c r="C21" s="35" t="n">
        <f aca="false">Assumptions!$C$6+(YEAR(B21)-YEAR(Assumptions!$C$4))*Assumptions!$C$7</f>
        <v>4000</v>
      </c>
      <c r="D21" s="36" t="n">
        <f aca="false">Assumptions!$D$19*(1+Assumptions!$F$19)^((B21-Assumptions!$C$4)/365)</f>
        <v>87.1887705649684</v>
      </c>
      <c r="E21" s="37" t="n">
        <f aca="false">C21/D21</f>
        <v>45.8774676380993</v>
      </c>
      <c r="F21" s="37" t="n">
        <f aca="false">F20+E21</f>
        <v>689.779348414045</v>
      </c>
      <c r="G21" s="35" t="n">
        <f aca="false">F21*D21</f>
        <v>60141.0133493255</v>
      </c>
      <c r="H21" s="36" t="n">
        <f aca="false">Assumptions!$D$20*(1+Assumptions!$F$20)^((B21-Assumptions!$C$4)/365)</f>
        <v>80.8745372704181</v>
      </c>
      <c r="I21" s="37" t="n">
        <f aca="false">C21/H21</f>
        <v>49.4593247145922</v>
      </c>
      <c r="J21" s="37" t="n">
        <f aca="false">J20+I21</f>
        <v>741.425616571746</v>
      </c>
      <c r="K21" s="35" t="n">
        <f aca="false">J21*H21</f>
        <v>59962.4536606744</v>
      </c>
      <c r="L21" s="35" t="n">
        <f aca="false">L20+C21</f>
        <v>56000</v>
      </c>
    </row>
    <row r="22" customFormat="false" ht="15" hidden="false" customHeight="false" outlineLevel="0" collapsed="false">
      <c r="A22" s="33" t="n">
        <v>18</v>
      </c>
      <c r="B22" s="34" t="n">
        <f aca="false">EDATE(B21,1)</f>
        <v>46174</v>
      </c>
      <c r="C22" s="35" t="n">
        <f aca="false">Assumptions!$C$6+(YEAR(B22)-YEAR(Assumptions!$C$4))*Assumptions!$C$7</f>
        <v>4000</v>
      </c>
      <c r="D22" s="36" t="n">
        <f aca="false">Assumptions!$D$19*(1+Assumptions!$F$19)^((B22-Assumptions!$C$4)/365)</f>
        <v>88.0320295759296</v>
      </c>
      <c r="E22" s="37" t="n">
        <f aca="false">C22/D22</f>
        <v>45.4380072715455</v>
      </c>
      <c r="F22" s="37" t="n">
        <f aca="false">F21+E22</f>
        <v>735.21735568559</v>
      </c>
      <c r="G22" s="35" t="n">
        <f aca="false">F22*D22</f>
        <v>64722.6760004506</v>
      </c>
      <c r="H22" s="36" t="n">
        <f aca="false">Assumptions!$D$20*(1+Assumptions!$F$20)^((B22-Assumptions!$C$4)/365)</f>
        <v>81.624459365669</v>
      </c>
      <c r="I22" s="37" t="n">
        <f aca="false">C22/H22</f>
        <v>49.0049187594667</v>
      </c>
      <c r="J22" s="37" t="n">
        <f aca="false">J21+I22</f>
        <v>790.430535331213</v>
      </c>
      <c r="K22" s="35" t="n">
        <f aca="false">J22*H22</f>
        <v>64518.4651125266</v>
      </c>
      <c r="L22" s="35" t="n">
        <f aca="false">L21+C22</f>
        <v>60000</v>
      </c>
    </row>
    <row r="23" customFormat="false" ht="15" hidden="false" customHeight="false" outlineLevel="0" collapsed="false">
      <c r="A23" s="38" t="n">
        <v>19</v>
      </c>
      <c r="B23" s="39" t="n">
        <f aca="false">EDATE(B22,1)</f>
        <v>46204</v>
      </c>
      <c r="C23" s="40" t="n">
        <f aca="false">Assumptions!$C$6+(YEAR(B23)-YEAR(Assumptions!$C$4))*Assumptions!$C$7</f>
        <v>4000</v>
      </c>
      <c r="D23" s="41" t="n">
        <f aca="false">Assumptions!$D$19*(1+Assumptions!$F$19)^((B23-Assumptions!$C$4)/365)</f>
        <v>88.8558511937649</v>
      </c>
      <c r="E23" s="42" t="n">
        <f aca="false">C23/D23</f>
        <v>45.0167315518405</v>
      </c>
      <c r="F23" s="42" t="n">
        <f aca="false">F22+E23</f>
        <v>780.234087237431</v>
      </c>
      <c r="G23" s="40" t="n">
        <f aca="false">F23*D23</f>
        <v>69328.3639518721</v>
      </c>
      <c r="H23" s="41" t="n">
        <f aca="false">Assumptions!$D$20*(1+Assumptions!$F$20)^((B23-Assumptions!$C$4)/365)</f>
        <v>82.3568106848276</v>
      </c>
      <c r="I23" s="42" t="n">
        <f aca="false">C23/H23</f>
        <v>48.5691464584229</v>
      </c>
      <c r="J23" s="42" t="n">
        <f aca="false">J22+I23</f>
        <v>838.999681789636</v>
      </c>
      <c r="K23" s="40" t="n">
        <f aca="false">J23*H23</f>
        <v>69097.3379577797</v>
      </c>
      <c r="L23" s="40" t="n">
        <f aca="false">L22+C23</f>
        <v>64000</v>
      </c>
    </row>
    <row r="24" customFormat="false" ht="15" hidden="false" customHeight="false" outlineLevel="0" collapsed="false">
      <c r="A24" s="38" t="n">
        <v>20</v>
      </c>
      <c r="B24" s="39" t="n">
        <f aca="false">EDATE(B23,1)</f>
        <v>46235</v>
      </c>
      <c r="C24" s="40" t="n">
        <f aca="false">Assumptions!$C$6+(YEAR(B24)-YEAR(Assumptions!$C$4))*Assumptions!$C$7</f>
        <v>4000</v>
      </c>
      <c r="D24" s="41" t="n">
        <f aca="false">Assumptions!$D$19*(1+Assumptions!$F$19)^((B24-Assumptions!$C$4)/365)</f>
        <v>89.7152336200824</v>
      </c>
      <c r="E24" s="42" t="n">
        <f aca="false">C24/D24</f>
        <v>44.5855161782092</v>
      </c>
      <c r="F24" s="42" t="n">
        <f aca="false">F23+E24</f>
        <v>824.81960341564</v>
      </c>
      <c r="G24" s="40" t="n">
        <f aca="false">F24*D24</f>
        <v>73998.8834148579</v>
      </c>
      <c r="H24" s="41" t="n">
        <f aca="false">Assumptions!$D$20*(1+Assumptions!$F$20)^((B24-Assumptions!$C$4)/365)</f>
        <v>83.1204773976329</v>
      </c>
      <c r="I24" s="42" t="n">
        <f aca="false">C24/H24</f>
        <v>48.1229189873964</v>
      </c>
      <c r="J24" s="42" t="n">
        <f aca="false">J23+I24</f>
        <v>887.122600777032</v>
      </c>
      <c r="K24" s="40" t="n">
        <f aca="false">J24*H24</f>
        <v>73738.0540868166</v>
      </c>
      <c r="L24" s="40" t="n">
        <f aca="false">L23+C24</f>
        <v>68000</v>
      </c>
    </row>
    <row r="25" customFormat="false" ht="15" hidden="false" customHeight="false" outlineLevel="0" collapsed="false">
      <c r="A25" s="38" t="n">
        <v>21</v>
      </c>
      <c r="B25" s="39" t="n">
        <f aca="false">EDATE(B24,1)</f>
        <v>46266</v>
      </c>
      <c r="C25" s="40" t="n">
        <f aca="false">Assumptions!$C$6+(YEAR(B25)-YEAR(Assumptions!$C$4))*Assumptions!$C$7</f>
        <v>4000</v>
      </c>
      <c r="D25" s="41" t="n">
        <f aca="false">Assumptions!$D$19*(1+Assumptions!$F$19)^((B25-Assumptions!$C$4)/365)</f>
        <v>90.5829276898623</v>
      </c>
      <c r="E25" s="42" t="n">
        <f aca="false">C25/D25</f>
        <v>44.1584314176198</v>
      </c>
      <c r="F25" s="42" t="n">
        <f aca="false">F24+E25</f>
        <v>868.97803483326</v>
      </c>
      <c r="G25" s="40" t="n">
        <f aca="false">F25*D25</f>
        <v>78714.5744933798</v>
      </c>
      <c r="H25" s="41" t="n">
        <f aca="false">Assumptions!$D$20*(1+Assumptions!$F$20)^((B25-Assumptions!$C$4)/365)</f>
        <v>83.8912253322994</v>
      </c>
      <c r="I25" s="42" t="n">
        <f aca="false">C25/H25</f>
        <v>47.6807912169086</v>
      </c>
      <c r="J25" s="42" t="n">
        <f aca="false">J24+I25</f>
        <v>934.803391993941</v>
      </c>
      <c r="K25" s="40" t="n">
        <f aca="false">J25*H25</f>
        <v>78421.8019991615</v>
      </c>
      <c r="L25" s="40" t="n">
        <f aca="false">L24+C25</f>
        <v>72000</v>
      </c>
    </row>
    <row r="26" customFormat="false" ht="15" hidden="false" customHeight="false" outlineLevel="0" collapsed="false">
      <c r="A26" s="38" t="n">
        <v>22</v>
      </c>
      <c r="B26" s="39" t="n">
        <f aca="false">EDATE(B25,1)</f>
        <v>46296</v>
      </c>
      <c r="C26" s="40" t="n">
        <f aca="false">Assumptions!$C$6+(YEAR(B26)-YEAR(Assumptions!$C$4))*Assumptions!$C$7</f>
        <v>4000</v>
      </c>
      <c r="D26" s="41" t="n">
        <f aca="false">Assumptions!$D$19*(1+Assumptions!$F$19)^((B26-Assumptions!$C$4)/365)</f>
        <v>91.430621130502</v>
      </c>
      <c r="E26" s="42" t="n">
        <f aca="false">C26/D26</f>
        <v>43.7490192075876</v>
      </c>
      <c r="F26" s="42" t="n">
        <f aca="false">F25+E26</f>
        <v>912.727054040847</v>
      </c>
      <c r="G26" s="40" t="n">
        <f aca="false">F26*D26</f>
        <v>83451.2014735679</v>
      </c>
      <c r="H26" s="41" t="n">
        <f aca="false">Assumptions!$D$20*(1+Assumptions!$F$20)^((B26-Assumptions!$C$4)/365)</f>
        <v>84.6439145386402</v>
      </c>
      <c r="I26" s="42" t="n">
        <f aca="false">C26/H26</f>
        <v>47.2567936136034</v>
      </c>
      <c r="J26" s="42" t="n">
        <f aca="false">J25+I26</f>
        <v>982.060185607544</v>
      </c>
      <c r="K26" s="40" t="n">
        <f aca="false">J26*H26</f>
        <v>83125.4184223661</v>
      </c>
      <c r="L26" s="40" t="n">
        <f aca="false">L25+C26</f>
        <v>76000</v>
      </c>
    </row>
    <row r="27" customFormat="false" ht="15" hidden="false" customHeight="false" outlineLevel="0" collapsed="false">
      <c r="A27" s="38" t="n">
        <v>23</v>
      </c>
      <c r="B27" s="39" t="n">
        <f aca="false">EDATE(B26,1)</f>
        <v>46327</v>
      </c>
      <c r="C27" s="40" t="n">
        <f aca="false">Assumptions!$C$6+(YEAR(B27)-YEAR(Assumptions!$C$4))*Assumptions!$C$7</f>
        <v>4000</v>
      </c>
      <c r="D27" s="41" t="n">
        <f aca="false">Assumptions!$D$19*(1+Assumptions!$F$19)^((B27-Assumptions!$C$4)/365)</f>
        <v>92.3149058227448</v>
      </c>
      <c r="E27" s="42" t="n">
        <f aca="false">C27/D27</f>
        <v>43.329947253377</v>
      </c>
      <c r="F27" s="42" t="n">
        <f aca="false">F26+E27</f>
        <v>956.057001294224</v>
      </c>
      <c r="G27" s="40" t="n">
        <f aca="false">F27*D27</f>
        <v>88258.3120356521</v>
      </c>
      <c r="H27" s="41" t="n">
        <f aca="false">Assumptions!$D$20*(1+Assumptions!$F$20)^((B27-Assumptions!$C$4)/365)</f>
        <v>85.4287887881065</v>
      </c>
      <c r="I27" s="42" t="n">
        <f aca="false">C27/H27</f>
        <v>46.8226233421313</v>
      </c>
      <c r="J27" s="42" t="n">
        <f aca="false">J26+I27</f>
        <v>1028.88280894968</v>
      </c>
      <c r="K27" s="40" t="n">
        <f aca="false">J27*H27</f>
        <v>87896.2121734756</v>
      </c>
      <c r="L27" s="40" t="n">
        <f aca="false">L26+C27</f>
        <v>80000</v>
      </c>
    </row>
    <row r="28" customFormat="false" ht="15" hidden="false" customHeight="false" outlineLevel="0" collapsed="false">
      <c r="A28" s="38" t="n">
        <v>24</v>
      </c>
      <c r="B28" s="39" t="n">
        <f aca="false">EDATE(B27,1)</f>
        <v>46357</v>
      </c>
      <c r="C28" s="40" t="n">
        <f aca="false">Assumptions!$C$6+(YEAR(B28)-YEAR(Assumptions!$C$4))*Assumptions!$C$7</f>
        <v>4000</v>
      </c>
      <c r="D28" s="41" t="n">
        <f aca="false">Assumptions!$D$19*(1+Assumptions!$F$19)^((B28-Assumptions!$C$4)/365)</f>
        <v>93.1788074666301</v>
      </c>
      <c r="E28" s="42" t="n">
        <f aca="false">C28/D28</f>
        <v>42.9282162838638</v>
      </c>
      <c r="F28" s="42" t="n">
        <f aca="false">F27+E28</f>
        <v>998.985217578088</v>
      </c>
      <c r="G28" s="40" t="n">
        <f aca="false">F28*D28</f>
        <v>93084.2512507182</v>
      </c>
      <c r="H28" s="41" t="n">
        <f aca="false">Assumptions!$D$20*(1+Assumptions!$F$20)^((B28-Assumptions!$C$4)/365)</f>
        <v>86.1952733277812</v>
      </c>
      <c r="I28" s="42" t="n">
        <f aca="false">C28/H28</f>
        <v>46.4062569276728</v>
      </c>
      <c r="J28" s="42" t="n">
        <f aca="false">J27+I28</f>
        <v>1075.28906587735</v>
      </c>
      <c r="K28" s="40" t="n">
        <f aca="false">J28*H28</f>
        <v>92684.8349396726</v>
      </c>
      <c r="L28" s="40" t="n">
        <f aca="false">L27+C28</f>
        <v>84000</v>
      </c>
    </row>
    <row r="29" customFormat="false" ht="15" hidden="false" customHeight="false" outlineLevel="0" collapsed="false">
      <c r="A29" s="33" t="n">
        <v>25</v>
      </c>
      <c r="B29" s="34" t="n">
        <f aca="false">EDATE(B28,1)</f>
        <v>46388</v>
      </c>
      <c r="C29" s="35" t="n">
        <f aca="false">Assumptions!$C$6+(YEAR(B29)-YEAR(Assumptions!$C$4))*Assumptions!$C$7</f>
        <v>5000</v>
      </c>
      <c r="D29" s="36" t="n">
        <f aca="false">Assumptions!$D$19*(1+Assumptions!$F$19)^((B29-Assumptions!$C$4)/365)</f>
        <v>94.08</v>
      </c>
      <c r="E29" s="37" t="n">
        <f aca="false">C29/D29</f>
        <v>53.1462585034014</v>
      </c>
      <c r="F29" s="37" t="n">
        <f aca="false">F28+E29</f>
        <v>1052.13147608149</v>
      </c>
      <c r="G29" s="35" t="n">
        <f aca="false">F29*D29</f>
        <v>98984.5292697465</v>
      </c>
      <c r="H29" s="36" t="n">
        <f aca="false">Assumptions!$D$20*(1+Assumptions!$F$20)^((B29-Assumptions!$C$4)/365)</f>
        <v>86.9945328</v>
      </c>
      <c r="I29" s="37" t="n">
        <f aca="false">C29/H29</f>
        <v>57.4748761683102</v>
      </c>
      <c r="J29" s="37" t="n">
        <f aca="false">J28+I29</f>
        <v>1132.76394204566</v>
      </c>
      <c r="K29" s="35" t="n">
        <f aca="false">J29*H29</f>
        <v>98544.2699109483</v>
      </c>
      <c r="L29" s="35" t="n">
        <f aca="false">L28+C29</f>
        <v>89000</v>
      </c>
    </row>
    <row r="30" customFormat="false" ht="15" hidden="false" customHeight="false" outlineLevel="0" collapsed="false">
      <c r="A30" s="33" t="n">
        <v>26</v>
      </c>
      <c r="B30" s="34" t="n">
        <f aca="false">EDATE(B29,1)</f>
        <v>46419</v>
      </c>
      <c r="C30" s="35" t="n">
        <f aca="false">Assumptions!$C$6+(YEAR(B30)-YEAR(Assumptions!$C$4))*Assumptions!$C$7</f>
        <v>5000</v>
      </c>
      <c r="D30" s="36" t="n">
        <f aca="false">Assumptions!$D$19*(1+Assumptions!$F$19)^((B30-Assumptions!$C$4)/365)</f>
        <v>94.9899085494286</v>
      </c>
      <c r="E30" s="37" t="n">
        <f aca="false">C30/D30</f>
        <v>52.6371703726635</v>
      </c>
      <c r="F30" s="37" t="n">
        <f aca="false">F29+E30</f>
        <v>1104.76864645415</v>
      </c>
      <c r="G30" s="35" t="n">
        <f aca="false">F30*D30</f>
        <v>104941.872694956</v>
      </c>
      <c r="H30" s="36" t="n">
        <f aca="false">Assumptions!$D$20*(1+Assumptions!$F$20)^((B30-Assumptions!$C$4)/365)</f>
        <v>87.8012035336403</v>
      </c>
      <c r="I30" s="37" t="n">
        <f aca="false">C30/H30</f>
        <v>56.9468275919964</v>
      </c>
      <c r="J30" s="37" t="n">
        <f aca="false">J29+I30</f>
        <v>1189.71076963765</v>
      </c>
      <c r="K30" s="35" t="n">
        <f aca="false">J30*H30</f>
        <v>104458.03743112</v>
      </c>
      <c r="L30" s="35" t="n">
        <f aca="false">L29+C30</f>
        <v>94000</v>
      </c>
    </row>
    <row r="31" customFormat="false" ht="15" hidden="false" customHeight="false" outlineLevel="0" collapsed="false">
      <c r="A31" s="33" t="n">
        <v>27</v>
      </c>
      <c r="B31" s="34" t="n">
        <f aca="false">EDATE(B30,1)</f>
        <v>46447</v>
      </c>
      <c r="C31" s="35" t="n">
        <f aca="false">Assumptions!$C$6+(YEAR(B31)-YEAR(Assumptions!$C$4))*Assumptions!$C$7</f>
        <v>5000</v>
      </c>
      <c r="D31" s="36" t="n">
        <f aca="false">Assumptions!$D$19*(1+Assumptions!$F$19)^((B31-Assumptions!$C$4)/365)</f>
        <v>95.8193231369758</v>
      </c>
      <c r="E31" s="37" t="n">
        <f aca="false">C31/D31</f>
        <v>52.1815416380305</v>
      </c>
      <c r="F31" s="37" t="n">
        <f aca="false">F30+E31</f>
        <v>1156.95018809218</v>
      </c>
      <c r="G31" s="35" t="n">
        <f aca="false">F31*D31</f>
        <v>110858.18392619</v>
      </c>
      <c r="H31" s="36" t="n">
        <f aca="false">Assumptions!$D$20*(1+Assumptions!$F$20)^((B31-Assumptions!$C$4)/365)</f>
        <v>88.5362366447588</v>
      </c>
      <c r="I31" s="37" t="n">
        <f aca="false">C31/H31</f>
        <v>56.4740516367542</v>
      </c>
      <c r="J31" s="37" t="n">
        <f aca="false">J30+I31</f>
        <v>1246.18482127441</v>
      </c>
      <c r="K31" s="35" t="n">
        <f aca="false">J31*H31</f>
        <v>110332.514239458</v>
      </c>
      <c r="L31" s="35" t="n">
        <f aca="false">L30+C31</f>
        <v>99000</v>
      </c>
    </row>
    <row r="32" customFormat="false" ht="15" hidden="false" customHeight="false" outlineLevel="0" collapsed="false">
      <c r="A32" s="33" t="n">
        <v>28</v>
      </c>
      <c r="B32" s="34" t="n">
        <f aca="false">EDATE(B31,1)</f>
        <v>46478</v>
      </c>
      <c r="C32" s="35" t="n">
        <f aca="false">Assumptions!$C$6+(YEAR(B32)-YEAR(Assumptions!$C$4))*Assumptions!$C$7</f>
        <v>5000</v>
      </c>
      <c r="D32" s="36" t="n">
        <f aca="false">Assumptions!$D$19*(1+Assumptions!$F$19)^((B32-Assumptions!$C$4)/365)</f>
        <v>96.746053805798</v>
      </c>
      <c r="E32" s="37" t="n">
        <f aca="false">C32/D32</f>
        <v>51.681694532334</v>
      </c>
      <c r="F32" s="37" t="n">
        <f aca="false">F31+E32</f>
        <v>1208.63188262452</v>
      </c>
      <c r="G32" s="35" t="n">
        <f aca="false">F32*D32</f>
        <v>116930.365147794</v>
      </c>
      <c r="H32" s="36" t="n">
        <f aca="false">Assumptions!$D$20*(1+Assumptions!$F$20)^((B32-Assumptions!$C$4)/365)</f>
        <v>89.357203074134</v>
      </c>
      <c r="I32" s="37" t="n">
        <f aca="false">C32/H32</f>
        <v>55.955198103636</v>
      </c>
      <c r="J32" s="37" t="n">
        <f aca="false">J31+I32</f>
        <v>1302.14001937804</v>
      </c>
      <c r="K32" s="35" t="n">
        <f aca="false">J32*H32</f>
        <v>116355.590142521</v>
      </c>
      <c r="L32" s="35" t="n">
        <f aca="false">L31+C32</f>
        <v>104000</v>
      </c>
    </row>
    <row r="33" customFormat="false" ht="15" hidden="false" customHeight="false" outlineLevel="0" collapsed="false">
      <c r="A33" s="33" t="n">
        <v>29</v>
      </c>
      <c r="B33" s="34" t="n">
        <f aca="false">EDATE(B32,1)</f>
        <v>46508</v>
      </c>
      <c r="C33" s="35" t="n">
        <f aca="false">Assumptions!$C$6+(YEAR(B33)-YEAR(Assumptions!$C$4))*Assumptions!$C$7</f>
        <v>5000</v>
      </c>
      <c r="D33" s="36" t="n">
        <f aca="false">Assumptions!$D$19*(1+Assumptions!$F$19)^((B33-Assumptions!$C$4)/365)</f>
        <v>97.6514230327646</v>
      </c>
      <c r="E33" s="37" t="n">
        <f aca="false">C33/D33</f>
        <v>51.2025308460929</v>
      </c>
      <c r="F33" s="37" t="n">
        <f aca="false">F32+E33</f>
        <v>1259.83441347061</v>
      </c>
      <c r="G33" s="35" t="n">
        <f aca="false">F33*D33</f>
        <v>123024.623261054</v>
      </c>
      <c r="H33" s="36" t="n">
        <f aca="false">Assumptions!$D$20*(1+Assumptions!$F$20)^((B33-Assumptions!$C$4)/365)</f>
        <v>90.1589341490622</v>
      </c>
      <c r="I33" s="37" t="n">
        <f aca="false">C33/H33</f>
        <v>55.457621002189</v>
      </c>
      <c r="J33" s="37" t="n">
        <f aca="false">J32+I33</f>
        <v>1357.59764038023</v>
      </c>
      <c r="K33" s="35" t="n">
        <f aca="false">J33*H33</f>
        <v>122399.556259964</v>
      </c>
      <c r="L33" s="35" t="n">
        <f aca="false">L32+C33</f>
        <v>109000</v>
      </c>
    </row>
    <row r="34" customFormat="false" ht="15" hidden="false" customHeight="false" outlineLevel="0" collapsed="false">
      <c r="A34" s="33" t="n">
        <v>30</v>
      </c>
      <c r="B34" s="34" t="n">
        <f aca="false">EDATE(B33,1)</f>
        <v>46539</v>
      </c>
      <c r="C34" s="35" t="n">
        <f aca="false">Assumptions!$C$6+(YEAR(B34)-YEAR(Assumptions!$C$4))*Assumptions!$C$7</f>
        <v>5000</v>
      </c>
      <c r="D34" s="36" t="n">
        <f aca="false">Assumptions!$D$19*(1+Assumptions!$F$19)^((B34-Assumptions!$C$4)/365)</f>
        <v>98.5958731250412</v>
      </c>
      <c r="E34" s="37" t="n">
        <f aca="false">C34/D34</f>
        <v>50.7120616869928</v>
      </c>
      <c r="F34" s="37" t="n">
        <f aca="false">F33+E34</f>
        <v>1310.5464751576</v>
      </c>
      <c r="G34" s="35" t="n">
        <f aca="false">F34*D34</f>
        <v>129214.473989109</v>
      </c>
      <c r="H34" s="36" t="n">
        <f aca="false">Assumptions!$D$20*(1+Assumptions!$F$20)^((B34-Assumptions!$C$4)/365)</f>
        <v>90.9949473008479</v>
      </c>
      <c r="I34" s="37" t="n">
        <f aca="false">C34/H34</f>
        <v>54.9481058928358</v>
      </c>
      <c r="J34" s="37" t="n">
        <f aca="false">J33+I34</f>
        <v>1412.54574627307</v>
      </c>
      <c r="K34" s="35" t="n">
        <f aca="false">J34*H34</f>
        <v>128534.525742155</v>
      </c>
      <c r="L34" s="35" t="n">
        <f aca="false">L33+C34</f>
        <v>114000</v>
      </c>
    </row>
    <row r="35" customFormat="false" ht="15" hidden="false" customHeight="false" outlineLevel="0" collapsed="false">
      <c r="A35" s="38" t="n">
        <v>31</v>
      </c>
      <c r="B35" s="39" t="n">
        <f aca="false">EDATE(B34,1)</f>
        <v>46569</v>
      </c>
      <c r="C35" s="40" t="n">
        <f aca="false">Assumptions!$C$6+(YEAR(B35)-YEAR(Assumptions!$C$4))*Assumptions!$C$7</f>
        <v>5000</v>
      </c>
      <c r="D35" s="41" t="n">
        <f aca="false">Assumptions!$D$19*(1+Assumptions!$F$19)^((B35-Assumptions!$C$4)/365)</f>
        <v>99.5185533370166</v>
      </c>
      <c r="E35" s="42" t="n">
        <f aca="false">C35/D35</f>
        <v>50.2418878926791</v>
      </c>
      <c r="F35" s="42" t="n">
        <f aca="false">F34+E35</f>
        <v>1360.78836305028</v>
      </c>
      <c r="G35" s="40" t="n">
        <f aca="false">F35*D35</f>
        <v>135423.689288611</v>
      </c>
      <c r="H35" s="41" t="n">
        <f aca="false">Assumptions!$D$20*(1+Assumptions!$F$20)^((B35-Assumptions!$C$4)/365)</f>
        <v>91.8113725514459</v>
      </c>
      <c r="I35" s="42" t="n">
        <f aca="false">C35/H35</f>
        <v>54.459484277923</v>
      </c>
      <c r="J35" s="42" t="n">
        <f aca="false">J34+I35</f>
        <v>1467.00523055099</v>
      </c>
      <c r="K35" s="40" t="n">
        <f aca="false">J35*H35</f>
        <v>134687.763757037</v>
      </c>
      <c r="L35" s="40" t="n">
        <f aca="false">L34+C35</f>
        <v>119000</v>
      </c>
    </row>
    <row r="36" customFormat="false" ht="15" hidden="false" customHeight="false" outlineLevel="0" collapsed="false">
      <c r="A36" s="38" t="n">
        <v>32</v>
      </c>
      <c r="B36" s="39" t="n">
        <f aca="false">EDATE(B35,1)</f>
        <v>46600</v>
      </c>
      <c r="C36" s="40" t="n">
        <f aca="false">Assumptions!$C$6+(YEAR(B36)-YEAR(Assumptions!$C$4))*Assumptions!$C$7</f>
        <v>5000</v>
      </c>
      <c r="D36" s="41" t="n">
        <f aca="false">Assumptions!$D$19*(1+Assumptions!$F$19)^((B36-Assumptions!$C$4)/365)</f>
        <v>100.481061654492</v>
      </c>
      <c r="E36" s="42" t="n">
        <f aca="false">C36/D36</f>
        <v>49.7606207346085</v>
      </c>
      <c r="F36" s="42" t="n">
        <f aca="false">F35+E36</f>
        <v>1410.54898378489</v>
      </c>
      <c r="G36" s="40" t="n">
        <f aca="false">F36*D36</f>
        <v>141733.459406371</v>
      </c>
      <c r="H36" s="41" t="n">
        <f aca="false">Assumptions!$D$20*(1+Assumptions!$F$20)^((B36-Assumptions!$C$4)/365)</f>
        <v>92.6627082028812</v>
      </c>
      <c r="I36" s="42" t="n">
        <f aca="false">C36/H36</f>
        <v>53.9591395176224</v>
      </c>
      <c r="J36" s="42" t="n">
        <f aca="false">J35+I36</f>
        <v>1520.96437006862</v>
      </c>
      <c r="K36" s="40" t="n">
        <f aca="false">J36*H36</f>
        <v>140936.677610647</v>
      </c>
      <c r="L36" s="40" t="n">
        <f aca="false">L35+C36</f>
        <v>124000</v>
      </c>
    </row>
    <row r="37" customFormat="false" ht="15" hidden="false" customHeight="false" outlineLevel="0" collapsed="false">
      <c r="A37" s="38" t="n">
        <v>33</v>
      </c>
      <c r="B37" s="39" t="n">
        <f aca="false">EDATE(B36,1)</f>
        <v>46631</v>
      </c>
      <c r="C37" s="40" t="n">
        <f aca="false">Assumptions!$C$6+(YEAR(B37)-YEAR(Assumptions!$C$4))*Assumptions!$C$7</f>
        <v>5000</v>
      </c>
      <c r="D37" s="41" t="n">
        <f aca="false">Assumptions!$D$19*(1+Assumptions!$F$19)^((B37-Assumptions!$C$4)/365)</f>
        <v>101.452879012646</v>
      </c>
      <c r="E37" s="42" t="n">
        <f aca="false">C37/D37</f>
        <v>49.2839636357364</v>
      </c>
      <c r="F37" s="42" t="n">
        <f aca="false">F36+E37</f>
        <v>1459.83294742063</v>
      </c>
      <c r="G37" s="40" t="n">
        <f aca="false">F37*D37</f>
        <v>148104.255393339</v>
      </c>
      <c r="H37" s="41" t="n">
        <f aca="false">Assumptions!$D$20*(1+Assumptions!$F$20)^((B37-Assumptions!$C$4)/365)</f>
        <v>93.5219380004474</v>
      </c>
      <c r="I37" s="42" t="n">
        <f aca="false">C37/H37</f>
        <v>53.4633916587152</v>
      </c>
      <c r="J37" s="42" t="n">
        <f aca="false">J36+I37</f>
        <v>1574.42776172733</v>
      </c>
      <c r="K37" s="40" t="n">
        <f aca="false">J37*H37</f>
        <v>147243.535518447</v>
      </c>
      <c r="L37" s="40" t="n">
        <f aca="false">L36+C37</f>
        <v>129000</v>
      </c>
    </row>
    <row r="38" customFormat="false" ht="15" hidden="false" customHeight="false" outlineLevel="0" collapsed="false">
      <c r="A38" s="38" t="n">
        <v>34</v>
      </c>
      <c r="B38" s="39" t="n">
        <f aca="false">EDATE(B37,1)</f>
        <v>46661</v>
      </c>
      <c r="C38" s="40" t="n">
        <f aca="false">Assumptions!$C$6+(YEAR(B38)-YEAR(Assumptions!$C$4))*Assumptions!$C$7</f>
        <v>5000</v>
      </c>
      <c r="D38" s="41" t="n">
        <f aca="false">Assumptions!$D$19*(1+Assumptions!$F$19)^((B38-Assumptions!$C$4)/365)</f>
        <v>102.402295666162</v>
      </c>
      <c r="E38" s="42" t="n">
        <f aca="false">C38/D38</f>
        <v>48.8270303656112</v>
      </c>
      <c r="F38" s="42" t="n">
        <f aca="false">F37+E38</f>
        <v>1508.65997778624</v>
      </c>
      <c r="G38" s="40" t="n">
        <f aca="false">F38*D38</f>
        <v>154490.245104972</v>
      </c>
      <c r="H38" s="41" t="n">
        <f aca="false">Assumptions!$D$20*(1+Assumptions!$F$20)^((B38-Assumptions!$C$4)/365)</f>
        <v>94.3610359276761</v>
      </c>
      <c r="I38" s="42" t="n">
        <f aca="false">C38/H38</f>
        <v>52.9879727457877</v>
      </c>
      <c r="J38" s="42" t="n">
        <f aca="false">J37+I38</f>
        <v>1627.41573447312</v>
      </c>
      <c r="K38" s="40" t="n">
        <f aca="false">J38*H38</f>
        <v>153564.634589883</v>
      </c>
      <c r="L38" s="40" t="n">
        <f aca="false">L37+C38</f>
        <v>134000</v>
      </c>
    </row>
    <row r="39" customFormat="false" ht="15" hidden="false" customHeight="false" outlineLevel="0" collapsed="false">
      <c r="A39" s="38" t="n">
        <v>35</v>
      </c>
      <c r="B39" s="39" t="n">
        <f aca="false">EDATE(B38,1)</f>
        <v>46692</v>
      </c>
      <c r="C39" s="40" t="n">
        <f aca="false">Assumptions!$C$6+(YEAR(B39)-YEAR(Assumptions!$C$4))*Assumptions!$C$7</f>
        <v>5000</v>
      </c>
      <c r="D39" s="41" t="n">
        <f aca="false">Assumptions!$D$19*(1+Assumptions!$F$19)^((B39-Assumptions!$C$4)/365)</f>
        <v>103.392694521474</v>
      </c>
      <c r="E39" s="42" t="n">
        <f aca="false">C39/D39</f>
        <v>48.3593161310011</v>
      </c>
      <c r="F39" s="42" t="n">
        <f aca="false">F38+E39</f>
        <v>1557.01929391724</v>
      </c>
      <c r="G39" s="40" t="n">
        <f aca="false">F39*D39</f>
        <v>160984.420220027</v>
      </c>
      <c r="H39" s="41" t="n">
        <f aca="false">Assumptions!$D$20*(1+Assumptions!$F$20)^((B39-Assumptions!$C$4)/365)</f>
        <v>95.2360137409812</v>
      </c>
      <c r="I39" s="42" t="n">
        <f aca="false">C39/H39</f>
        <v>52.5011474503625</v>
      </c>
      <c r="J39" s="42" t="n">
        <f aca="false">J38+I39</f>
        <v>1679.91688192348</v>
      </c>
      <c r="K39" s="40" t="n">
        <f aca="false">J39*H39</f>
        <v>159988.587250571</v>
      </c>
      <c r="L39" s="40" t="n">
        <f aca="false">L38+C39</f>
        <v>139000</v>
      </c>
    </row>
    <row r="40" customFormat="false" ht="15" hidden="false" customHeight="false" outlineLevel="0" collapsed="false">
      <c r="A40" s="38" t="n">
        <v>36</v>
      </c>
      <c r="B40" s="39" t="n">
        <f aca="false">EDATE(B39,1)</f>
        <v>46722</v>
      </c>
      <c r="C40" s="40" t="n">
        <f aca="false">Assumptions!$C$6+(YEAR(B40)-YEAR(Assumptions!$C$4))*Assumptions!$C$7</f>
        <v>5000</v>
      </c>
      <c r="D40" s="41" t="n">
        <f aca="false">Assumptions!$D$19*(1+Assumptions!$F$19)^((B40-Assumptions!$C$4)/365)</f>
        <v>104.360264362626</v>
      </c>
      <c r="E40" s="42" t="n">
        <f aca="false">C40/D40</f>
        <v>47.9109556739551</v>
      </c>
      <c r="F40" s="42" t="n">
        <f aca="false">F39+E40</f>
        <v>1604.93024959119</v>
      </c>
      <c r="G40" s="40" t="n">
        <f aca="false">F40*D40</f>
        <v>167490.945130912</v>
      </c>
      <c r="H40" s="41" t="n">
        <f aca="false">Assumptions!$D$20*(1+Assumptions!$F$20)^((B40-Assumptions!$C$4)/365)</f>
        <v>96.0904907058105</v>
      </c>
      <c r="I40" s="42" t="n">
        <f aca="false">C40/H40</f>
        <v>52.0342852167124</v>
      </c>
      <c r="J40" s="42" t="n">
        <f aca="false">J39+I40</f>
        <v>1731.95116714019</v>
      </c>
      <c r="K40" s="40" t="n">
        <f aca="false">J40*H40</f>
        <v>166424.037529002</v>
      </c>
      <c r="L40" s="40" t="n">
        <f aca="false">L39+C40</f>
        <v>144000</v>
      </c>
    </row>
    <row r="41" customFormat="false" ht="15" hidden="false" customHeight="false" outlineLevel="0" collapsed="false">
      <c r="A41" s="33" t="n">
        <v>37</v>
      </c>
      <c r="B41" s="34" t="n">
        <f aca="false">EDATE(B40,1)</f>
        <v>46753</v>
      </c>
      <c r="C41" s="35" t="n">
        <f aca="false">Assumptions!$C$6+(YEAR(B41)-YEAR(Assumptions!$C$4))*Assumptions!$C$7</f>
        <v>6000</v>
      </c>
      <c r="D41" s="36" t="n">
        <f aca="false">Assumptions!$D$19*(1+Assumptions!$F$19)^((B41-Assumptions!$C$4)/365)</f>
        <v>105.3696</v>
      </c>
      <c r="E41" s="37" t="n">
        <f aca="false">C41/D41</f>
        <v>56.9424198250729</v>
      </c>
      <c r="F41" s="37" t="n">
        <f aca="false">F40+E41</f>
        <v>1661.87266941627</v>
      </c>
      <c r="G41" s="35" t="n">
        <f aca="false">F41*D41</f>
        <v>175110.858427324</v>
      </c>
      <c r="H41" s="36" t="n">
        <f aca="false">Assumptions!$D$20*(1+Assumptions!$F$20)^((B41-Assumptions!$C$4)/365)</f>
        <v>96.98150516544</v>
      </c>
      <c r="I41" s="37" t="n">
        <f aca="false">C41/H41</f>
        <v>61.8674662737462</v>
      </c>
      <c r="J41" s="37" t="n">
        <f aca="false">J40+I41</f>
        <v>1793.81863341394</v>
      </c>
      <c r="K41" s="35" t="n">
        <f aca="false">J41*H41</f>
        <v>173967.231062297</v>
      </c>
      <c r="L41" s="35" t="n">
        <f aca="false">L40+C41</f>
        <v>150000</v>
      </c>
    </row>
    <row r="42" customFormat="false" ht="15" hidden="false" customHeight="false" outlineLevel="0" collapsed="false">
      <c r="A42" s="33" t="n">
        <v>38</v>
      </c>
      <c r="B42" s="34" t="n">
        <f aca="false">EDATE(B41,1)</f>
        <v>46784</v>
      </c>
      <c r="C42" s="35" t="n">
        <f aca="false">Assumptions!$C$6+(YEAR(B42)-YEAR(Assumptions!$C$4))*Assumptions!$C$7</f>
        <v>6000</v>
      </c>
      <c r="D42" s="36" t="n">
        <f aca="false">Assumptions!$D$19*(1+Assumptions!$F$19)^((B42-Assumptions!$C$4)/365)</f>
        <v>106.38869757536</v>
      </c>
      <c r="E42" s="37" t="n">
        <f aca="false">C42/D42</f>
        <v>56.3969682564252</v>
      </c>
      <c r="F42" s="37" t="n">
        <f aca="false">F41+E42</f>
        <v>1718.26963767269</v>
      </c>
      <c r="G42" s="35" t="n">
        <f aca="false">F42*D42</f>
        <v>182804.468835284</v>
      </c>
      <c r="H42" s="36" t="n">
        <f aca="false">Assumptions!$D$20*(1+Assumptions!$F$20)^((B42-Assumptions!$C$4)/365)</f>
        <v>97.8807816993022</v>
      </c>
      <c r="I42" s="37" t="n">
        <f aca="false">C42/H42</f>
        <v>61.2990609171113</v>
      </c>
      <c r="J42" s="37" t="n">
        <f aca="false">J41+I42</f>
        <v>1855.11769433105</v>
      </c>
      <c r="K42" s="35" t="n">
        <f aca="false">J42*H42</f>
        <v>181580.37006533</v>
      </c>
      <c r="L42" s="35" t="n">
        <f aca="false">L41+C42</f>
        <v>156000</v>
      </c>
    </row>
    <row r="43" customFormat="false" ht="15" hidden="false" customHeight="false" outlineLevel="0" collapsed="false">
      <c r="A43" s="33" t="n">
        <v>39</v>
      </c>
      <c r="B43" s="34" t="n">
        <f aca="false">EDATE(B42,1)</f>
        <v>46813</v>
      </c>
      <c r="C43" s="35" t="n">
        <f aca="false">Assumptions!$C$6+(YEAR(B43)-YEAR(Assumptions!$C$4))*Assumptions!$C$7</f>
        <v>6000</v>
      </c>
      <c r="D43" s="36" t="n">
        <f aca="false">Assumptions!$D$19*(1+Assumptions!$F$19)^((B43-Assumptions!$C$4)/365)</f>
        <v>107.350968093075</v>
      </c>
      <c r="E43" s="37" t="n">
        <f aca="false">C43/D43</f>
        <v>55.8914382103933</v>
      </c>
      <c r="F43" s="37" t="n">
        <f aca="false">F42+E43</f>
        <v>1774.16107588309</v>
      </c>
      <c r="G43" s="35" t="n">
        <f aca="false">F43*D43</f>
        <v>190457.909049101</v>
      </c>
      <c r="H43" s="36" t="n">
        <f aca="false">Assumptions!$D$20*(1+Assumptions!$F$20)^((B43-Assumptions!$C$4)/365)</f>
        <v>98.7295879608406</v>
      </c>
      <c r="I43" s="37" t="n">
        <f aca="false">C43/H43</f>
        <v>60.7720555096391</v>
      </c>
      <c r="J43" s="37" t="n">
        <f aca="false">J42+I43</f>
        <v>1915.88974984069</v>
      </c>
      <c r="K43" s="35" t="n">
        <f aca="false">J43*H43</f>
        <v>189155.005580169</v>
      </c>
      <c r="L43" s="35" t="n">
        <f aca="false">L42+C43</f>
        <v>162000</v>
      </c>
    </row>
    <row r="44" customFormat="false" ht="15" hidden="false" customHeight="false" outlineLevel="0" collapsed="false">
      <c r="A44" s="33" t="n">
        <v>40</v>
      </c>
      <c r="B44" s="34" t="n">
        <f aca="false">EDATE(B43,1)</f>
        <v>46844</v>
      </c>
      <c r="C44" s="35" t="n">
        <f aca="false">Assumptions!$C$6+(YEAR(B44)-YEAR(Assumptions!$C$4))*Assumptions!$C$7</f>
        <v>6000</v>
      </c>
      <c r="D44" s="36" t="n">
        <f aca="false">Assumptions!$D$19*(1+Assumptions!$F$19)^((B44-Assumptions!$C$4)/365)</f>
        <v>108.389228761201</v>
      </c>
      <c r="E44" s="37" t="n">
        <f aca="false">C44/D44</f>
        <v>55.3560539970163</v>
      </c>
      <c r="F44" s="37" t="n">
        <f aca="false">F43+E44</f>
        <v>1829.5171298801</v>
      </c>
      <c r="G44" s="35" t="n">
        <f aca="false">F44*D44</f>
        <v>198299.950713111</v>
      </c>
      <c r="H44" s="36" t="n">
        <f aca="false">Assumptions!$D$20*(1+Assumptions!$F$20)^((B44-Assumptions!$C$4)/365)</f>
        <v>99.6450738722998</v>
      </c>
      <c r="I44" s="37" t="n">
        <f aca="false">C44/H44</f>
        <v>60.2137142041693</v>
      </c>
      <c r="J44" s="37" t="n">
        <f aca="false">J43+I44</f>
        <v>1976.10346404486</v>
      </c>
      <c r="K44" s="35" t="n">
        <f aca="false">J44*H44</f>
        <v>196908.975654058</v>
      </c>
      <c r="L44" s="35" t="n">
        <f aca="false">L43+C44</f>
        <v>168000</v>
      </c>
    </row>
    <row r="45" customFormat="false" ht="15" hidden="false" customHeight="false" outlineLevel="0" collapsed="false">
      <c r="A45" s="33" t="n">
        <v>41</v>
      </c>
      <c r="B45" s="34" t="n">
        <f aca="false">EDATE(B44,1)</f>
        <v>46874</v>
      </c>
      <c r="C45" s="35" t="n">
        <f aca="false">Assumptions!$C$6+(YEAR(B45)-YEAR(Assumptions!$C$4))*Assumptions!$C$7</f>
        <v>6000</v>
      </c>
      <c r="D45" s="36" t="n">
        <f aca="false">Assumptions!$D$19*(1+Assumptions!$F$19)^((B45-Assumptions!$C$4)/365)</f>
        <v>109.403557184891</v>
      </c>
      <c r="E45" s="37" t="n">
        <f aca="false">C45/D45</f>
        <v>54.8428237105678</v>
      </c>
      <c r="F45" s="37" t="n">
        <f aca="false">F44+E45</f>
        <v>1884.35995359067</v>
      </c>
      <c r="G45" s="35" t="n">
        <f aca="false">F45*D45</f>
        <v>206155.681939575</v>
      </c>
      <c r="H45" s="36" t="n">
        <f aca="false">Assumptions!$D$20*(1+Assumptions!$F$20)^((B45-Assumptions!$C$4)/365)</f>
        <v>100.539109825066</v>
      </c>
      <c r="I45" s="37" t="n">
        <f aca="false">C45/H45</f>
        <v>59.6782685905986</v>
      </c>
      <c r="J45" s="37" t="n">
        <f aca="false">J44+I45</f>
        <v>2035.78173263546</v>
      </c>
      <c r="K45" s="35" t="n">
        <f aca="false">J45*H45</f>
        <v>204675.6831973</v>
      </c>
      <c r="L45" s="35" t="n">
        <f aca="false">L44+C45</f>
        <v>174000</v>
      </c>
    </row>
    <row r="46" customFormat="false" ht="15" hidden="false" customHeight="false" outlineLevel="0" collapsed="false">
      <c r="A46" s="33" t="n">
        <v>42</v>
      </c>
      <c r="B46" s="34" t="n">
        <f aca="false">EDATE(B45,1)</f>
        <v>46905</v>
      </c>
      <c r="C46" s="35" t="n">
        <f aca="false">Assumptions!$C$6+(YEAR(B46)-YEAR(Assumptions!$C$4))*Assumptions!$C$7</f>
        <v>6000</v>
      </c>
      <c r="D46" s="36" t="n">
        <f aca="false">Assumptions!$D$19*(1+Assumptions!$F$19)^((B46-Assumptions!$C$4)/365)</f>
        <v>110.461669770142</v>
      </c>
      <c r="E46" s="37" t="n">
        <f aca="false">C46/D46</f>
        <v>54.3174841778628</v>
      </c>
      <c r="F46" s="37" t="n">
        <f aca="false">F45+E46</f>
        <v>1938.67743776853</v>
      </c>
      <c r="G46" s="35" t="n">
        <f aca="false">F46*D46</f>
        <v>214149.546921613</v>
      </c>
      <c r="H46" s="36" t="n">
        <f aca="false">Assumptions!$D$20*(1+Assumptions!$F$20)^((B46-Assumptions!$C$4)/365)</f>
        <v>101.471374817725</v>
      </c>
      <c r="I46" s="37" t="n">
        <f aca="false">C46/H46</f>
        <v>59.1299764172696</v>
      </c>
      <c r="J46" s="37" t="n">
        <f aca="false">J45+I46</f>
        <v>2094.91170905273</v>
      </c>
      <c r="K46" s="35" t="n">
        <f aca="false">J46*H46</f>
        <v>212573.57123933</v>
      </c>
      <c r="L46" s="35" t="n">
        <f aca="false">L45+C46</f>
        <v>180000</v>
      </c>
    </row>
    <row r="47" customFormat="false" ht="15" hidden="false" customHeight="false" outlineLevel="0" collapsed="false">
      <c r="A47" s="38" t="n">
        <v>43</v>
      </c>
      <c r="B47" s="39" t="n">
        <f aca="false">EDATE(B46,1)</f>
        <v>46935</v>
      </c>
      <c r="C47" s="40" t="n">
        <f aca="false">Assumptions!$C$6+(YEAR(B47)-YEAR(Assumptions!$C$4))*Assumptions!$C$7</f>
        <v>6000</v>
      </c>
      <c r="D47" s="41" t="n">
        <f aca="false">Assumptions!$D$19*(1+Assumptions!$F$19)^((B47-Assumptions!$C$4)/365)</f>
        <v>111.495392517842</v>
      </c>
      <c r="E47" s="42" t="n">
        <f aca="false">C47/D47</f>
        <v>53.8138829283</v>
      </c>
      <c r="F47" s="42" t="n">
        <f aca="false">F46+E47</f>
        <v>1992.49132069683</v>
      </c>
      <c r="G47" s="40" t="n">
        <f aca="false">F47*D47</f>
        <v>222153.601889487</v>
      </c>
      <c r="H47" s="41" t="n">
        <f aca="false">Assumptions!$D$20*(1+Assumptions!$F$20)^((B47-Assumptions!$C$4)/365)</f>
        <v>102.381796715549</v>
      </c>
      <c r="I47" s="42" t="n">
        <f aca="false">C47/H47</f>
        <v>58.6041678548579</v>
      </c>
      <c r="J47" s="42" t="n">
        <f aca="false">J46+I47</f>
        <v>2153.51587690759</v>
      </c>
      <c r="K47" s="40" t="n">
        <f aca="false">J47*H47</f>
        <v>220480.824733261</v>
      </c>
      <c r="L47" s="40" t="n">
        <f aca="false">L46+C47</f>
        <v>186000</v>
      </c>
    </row>
    <row r="48" customFormat="false" ht="15" hidden="false" customHeight="false" outlineLevel="0" collapsed="false">
      <c r="A48" s="38" t="n">
        <v>44</v>
      </c>
      <c r="B48" s="39" t="n">
        <f aca="false">EDATE(B47,1)</f>
        <v>46966</v>
      </c>
      <c r="C48" s="40" t="n">
        <f aca="false">Assumptions!$C$6+(YEAR(B48)-YEAR(Assumptions!$C$4))*Assumptions!$C$7</f>
        <v>6000</v>
      </c>
      <c r="D48" s="41" t="n">
        <f aca="false">Assumptions!$D$19*(1+Assumptions!$F$19)^((B48-Assumptions!$C$4)/365)</f>
        <v>112.573736596008</v>
      </c>
      <c r="E48" s="42" t="n">
        <f aca="false">C48/D48</f>
        <v>53.2983996216819</v>
      </c>
      <c r="F48" s="42" t="n">
        <f aca="false">F47+E48</f>
        <v>2045.78972031851</v>
      </c>
      <c r="G48" s="40" t="n">
        <f aca="false">F48*D48</f>
        <v>230302.193105958</v>
      </c>
      <c r="H48" s="41" t="n">
        <f aca="false">Assumptions!$D$20*(1+Assumptions!$F$20)^((B48-Assumptions!$C$4)/365)</f>
        <v>103.331148317423</v>
      </c>
      <c r="I48" s="42" t="n">
        <f aca="false">C48/H48</f>
        <v>58.0657439474938</v>
      </c>
      <c r="J48" s="42" t="n">
        <f aca="false">J47+I48</f>
        <v>2211.58162085508</v>
      </c>
      <c r="K48" s="40" t="n">
        <f aca="false">J48*H48</f>
        <v>228525.268480664</v>
      </c>
      <c r="L48" s="40" t="n">
        <f aca="false">L47+C48</f>
        <v>192000</v>
      </c>
    </row>
    <row r="49" customFormat="false" ht="15" hidden="false" customHeight="false" outlineLevel="0" collapsed="false">
      <c r="A49" s="38" t="n">
        <v>45</v>
      </c>
      <c r="B49" s="39" t="n">
        <f aca="false">EDATE(B48,1)</f>
        <v>46997</v>
      </c>
      <c r="C49" s="40" t="n">
        <f aca="false">Assumptions!$C$6+(YEAR(B49)-YEAR(Assumptions!$C$4))*Assumptions!$C$7</f>
        <v>6000</v>
      </c>
      <c r="D49" s="41" t="n">
        <f aca="false">Assumptions!$D$19*(1+Assumptions!$F$19)^((B49-Assumptions!$C$4)/365)</f>
        <v>113.662510037439</v>
      </c>
      <c r="E49" s="42" t="n">
        <f aca="false">C49/D49</f>
        <v>52.7878541308271</v>
      </c>
      <c r="F49" s="42" t="n">
        <f aca="false">F48+E49</f>
        <v>2098.57757444934</v>
      </c>
      <c r="G49" s="40" t="n">
        <f aca="false">F49*D49</f>
        <v>238529.594620193</v>
      </c>
      <c r="H49" s="41" t="n">
        <f aca="false">Assumptions!$D$20*(1+Assumptions!$F$20)^((B49-Assumptions!$C$4)/365)</f>
        <v>104.289302934021</v>
      </c>
      <c r="I49" s="42" t="n">
        <f aca="false">C49/H49</f>
        <v>57.532266792462</v>
      </c>
      <c r="J49" s="42" t="n">
        <f aca="false">J48+I49</f>
        <v>2269.11388764754</v>
      </c>
      <c r="K49" s="40" t="n">
        <f aca="false">J49*H49</f>
        <v>236644.305620669</v>
      </c>
      <c r="L49" s="40" t="n">
        <f aca="false">L48+C49</f>
        <v>198000</v>
      </c>
    </row>
    <row r="50" customFormat="false" ht="15" hidden="false" customHeight="false" outlineLevel="0" collapsed="false">
      <c r="A50" s="38" t="n">
        <v>46</v>
      </c>
      <c r="B50" s="39" t="n">
        <f aca="false">EDATE(B49,1)</f>
        <v>47027</v>
      </c>
      <c r="C50" s="40" t="n">
        <f aca="false">Assumptions!$C$6+(YEAR(B50)-YEAR(Assumptions!$C$4))*Assumptions!$C$7</f>
        <v>6000</v>
      </c>
      <c r="D50" s="41" t="n">
        <f aca="false">Assumptions!$D$19*(1+Assumptions!$F$19)^((B50-Assumptions!$C$4)/365)</f>
        <v>114.72618689866</v>
      </c>
      <c r="E50" s="42" t="n">
        <f aca="false">C50/D50</f>
        <v>52.2984347531737</v>
      </c>
      <c r="F50" s="42" t="n">
        <f aca="false">F49+E50</f>
        <v>2150.87600920252</v>
      </c>
      <c r="G50" s="40" t="n">
        <f aca="false">F50*D50</f>
        <v>246761.803027612</v>
      </c>
      <c r="H50" s="41" t="n">
        <f aca="false">Assumptions!$D$20*(1+Assumptions!$F$20)^((B50-Assumptions!$C$4)/365)</f>
        <v>105.225007858396</v>
      </c>
      <c r="I50" s="42" t="n">
        <f aca="false">C50/H50</f>
        <v>57.0206657344646</v>
      </c>
      <c r="J50" s="42" t="n">
        <f aca="false">J49+I50</f>
        <v>2326.13455338201</v>
      </c>
      <c r="K50" s="40" t="n">
        <f aca="false">J50*H50</f>
        <v>244767.526659308</v>
      </c>
      <c r="L50" s="40" t="n">
        <f aca="false">L49+C50</f>
        <v>204000</v>
      </c>
    </row>
    <row r="51" customFormat="false" ht="15" hidden="false" customHeight="false" outlineLevel="0" collapsed="false">
      <c r="A51" s="38" t="n">
        <v>47</v>
      </c>
      <c r="B51" s="39" t="n">
        <f aca="false">EDATE(B50,1)</f>
        <v>47058</v>
      </c>
      <c r="C51" s="40" t="n">
        <f aca="false">Assumptions!$C$6+(YEAR(B51)-YEAR(Assumptions!$C$4))*Assumptions!$C$7</f>
        <v>6000</v>
      </c>
      <c r="D51" s="41" t="n">
        <f aca="false">Assumptions!$D$19*(1+Assumptions!$F$19)^((B51-Assumptions!$C$4)/365)</f>
        <v>115.835778079596</v>
      </c>
      <c r="E51" s="42" t="n">
        <f aca="false">C51/D51</f>
        <v>51.7974679280622</v>
      </c>
      <c r="F51" s="42" t="n">
        <f aca="false">F50+E51</f>
        <v>2202.67347713058</v>
      </c>
      <c r="G51" s="40" t="n">
        <f aca="false">F51*D51</f>
        <v>255148.39607871</v>
      </c>
      <c r="H51" s="41" t="n">
        <f aca="false">Assumptions!$D$20*(1+Assumptions!$F$20)^((B51-Assumptions!$C$4)/365)</f>
        <v>106.200723590804</v>
      </c>
      <c r="I51" s="42" t="n">
        <f aca="false">C51/H51</f>
        <v>56.4967902019037</v>
      </c>
      <c r="J51" s="42" t="n">
        <f aca="false">J50+I51</f>
        <v>2382.63134358391</v>
      </c>
      <c r="K51" s="40" t="n">
        <f aca="false">J51*H51</f>
        <v>253037.17273874</v>
      </c>
      <c r="L51" s="40" t="n">
        <f aca="false">L50+C51</f>
        <v>210000</v>
      </c>
    </row>
    <row r="52" customFormat="false" ht="15" hidden="false" customHeight="false" outlineLevel="0" collapsed="false">
      <c r="A52" s="38" t="n">
        <v>48</v>
      </c>
      <c r="B52" s="39" t="n">
        <f aca="false">EDATE(B51,1)</f>
        <v>47088</v>
      </c>
      <c r="C52" s="40" t="n">
        <f aca="false">Assumptions!$C$6+(YEAR(B52)-YEAR(Assumptions!$C$4))*Assumptions!$C$7</f>
        <v>6000</v>
      </c>
      <c r="D52" s="41" t="n">
        <f aca="false">Assumptions!$D$19*(1+Assumptions!$F$19)^((B52-Assumptions!$C$4)/365)</f>
        <v>116.919792824689</v>
      </c>
      <c r="E52" s="42" t="n">
        <f aca="false">C52/D52</f>
        <v>51.3172308558269</v>
      </c>
      <c r="F52" s="42" t="n">
        <f aca="false">F51+E52</f>
        <v>2253.9907079864</v>
      </c>
      <c r="G52" s="40" t="n">
        <f aca="false">F52*D52</f>
        <v>263536.126606544</v>
      </c>
      <c r="H52" s="41" t="n">
        <f aca="false">Assumptions!$D$20*(1+Assumptions!$F$20)^((B52-Assumptions!$C$4)/365)</f>
        <v>107.15357817167</v>
      </c>
      <c r="I52" s="42" t="n">
        <f aca="false">C52/H52</f>
        <v>55.9943970362561</v>
      </c>
      <c r="J52" s="42" t="n">
        <f aca="false">J51+I52</f>
        <v>2438.62574062017</v>
      </c>
      <c r="K52" s="40" t="n">
        <f aca="false">J52*H52</f>
        <v>261307.47392899</v>
      </c>
      <c r="L52" s="40" t="n">
        <f aca="false">L51+C52</f>
        <v>216000</v>
      </c>
    </row>
    <row r="53" customFormat="false" ht="15" hidden="false" customHeight="false" outlineLevel="0" collapsed="false">
      <c r="A53" s="33" t="n">
        <v>49</v>
      </c>
      <c r="B53" s="34" t="n">
        <f aca="false">EDATE(B52,1)</f>
        <v>47119</v>
      </c>
      <c r="C53" s="35" t="n">
        <f aca="false">Assumptions!$C$6+(YEAR(B53)-YEAR(Assumptions!$C$4))*Assumptions!$C$7</f>
        <v>7000</v>
      </c>
      <c r="D53" s="36" t="n">
        <f aca="false">Assumptions!$D$19*(1+Assumptions!$F$19)^((B53-Assumptions!$C$4)/365)</f>
        <v>118.05059978779</v>
      </c>
      <c r="E53" s="37" t="n">
        <f aca="false">C53/D53</f>
        <v>59.296606815919</v>
      </c>
      <c r="F53" s="37" t="n">
        <f aca="false">F52+E53</f>
        <v>2313.28731480232</v>
      </c>
      <c r="G53" s="35" t="n">
        <f aca="false">F53*D53</f>
        <v>273084.954993901</v>
      </c>
      <c r="H53" s="36" t="n">
        <f aca="false">Assumptions!$D$20*(1+Assumptions!$F$20)^((B53-Assumptions!$C$4)/365)</f>
        <v>108.147176881082</v>
      </c>
      <c r="I53" s="37" t="n">
        <f aca="false">C53/H53</f>
        <v>64.7266087000791</v>
      </c>
      <c r="J53" s="37" t="n">
        <f aca="false">J52+I53</f>
        <v>2503.35234932025</v>
      </c>
      <c r="K53" s="35" t="n">
        <f aca="false">J53*H53</f>
        <v>270730.489317608</v>
      </c>
      <c r="L53" s="35" t="n">
        <f aca="false">L52+C53</f>
        <v>223000</v>
      </c>
    </row>
    <row r="54" customFormat="false" ht="15" hidden="false" customHeight="false" outlineLevel="0" collapsed="false">
      <c r="A54" s="33" t="n">
        <v>50</v>
      </c>
      <c r="B54" s="34" t="n">
        <f aca="false">EDATE(B53,1)</f>
        <v>47150</v>
      </c>
      <c r="C54" s="35" t="n">
        <f aca="false">Assumptions!$C$6+(YEAR(B54)-YEAR(Assumptions!$C$4))*Assumptions!$C$7</f>
        <v>7000</v>
      </c>
      <c r="D54" s="36" t="n">
        <f aca="false">Assumptions!$D$19*(1+Assumptions!$F$19)^((B54-Assumptions!$C$4)/365)</f>
        <v>119.19234351666</v>
      </c>
      <c r="E54" s="37" t="n">
        <f aca="false">C54/D54</f>
        <v>58.7286044847468</v>
      </c>
      <c r="F54" s="37" t="n">
        <f aca="false">F53+E54</f>
        <v>2372.01591928707</v>
      </c>
      <c r="G54" s="35" t="n">
        <f aca="false">F54*D54</f>
        <v>282726.136278651</v>
      </c>
      <c r="H54" s="36" t="n">
        <f aca="false">Assumptions!$D$20*(1+Assumptions!$F$20)^((B54-Assumptions!$C$4)/365)</f>
        <v>109.149988893606</v>
      </c>
      <c r="I54" s="37" t="n">
        <f aca="false">C54/H54</f>
        <v>64.1319350643568</v>
      </c>
      <c r="J54" s="37" t="n">
        <f aca="false">J53+I54</f>
        <v>2567.4842843846</v>
      </c>
      <c r="K54" s="35" t="n">
        <f aca="false">J54*H54</f>
        <v>280240.881125087</v>
      </c>
      <c r="L54" s="35" t="n">
        <f aca="false">L53+C54</f>
        <v>230000</v>
      </c>
    </row>
    <row r="55" customFormat="false" ht="15" hidden="false" customHeight="false" outlineLevel="0" collapsed="false">
      <c r="A55" s="33" t="n">
        <v>51</v>
      </c>
      <c r="B55" s="34" t="n">
        <f aca="false">EDATE(B54,1)</f>
        <v>47178</v>
      </c>
      <c r="C55" s="35" t="n">
        <f aca="false">Assumptions!$C$6+(YEAR(B55)-YEAR(Assumptions!$C$4))*Assumptions!$C$7</f>
        <v>7000</v>
      </c>
      <c r="D55" s="36" t="n">
        <f aca="false">Assumptions!$D$19*(1+Assumptions!$F$19)^((B55-Assumptions!$C$4)/365)</f>
        <v>120.233084264244</v>
      </c>
      <c r="E55" s="37" t="n">
        <f aca="false">C55/D55</f>
        <v>58.2202481358264</v>
      </c>
      <c r="F55" s="37" t="n">
        <f aca="false">F54+E55</f>
        <v>2430.2361674229</v>
      </c>
      <c r="G55" s="35" t="n">
        <f aca="false">F55*D55</f>
        <v>292194.78989977</v>
      </c>
      <c r="H55" s="36" t="n">
        <f aca="false">Assumptions!$D$20*(1+Assumptions!$F$20)^((B55-Assumptions!$C$4)/365)</f>
        <v>110.063744658745</v>
      </c>
      <c r="I55" s="37" t="n">
        <f aca="false">C55/H55</f>
        <v>63.5995079188305</v>
      </c>
      <c r="J55" s="37" t="n">
        <f aca="false">J54+I55</f>
        <v>2631.08379230343</v>
      </c>
      <c r="K55" s="35" t="n">
        <f aca="false">J55*H55</f>
        <v>289586.934691848</v>
      </c>
      <c r="L55" s="35" t="n">
        <f aca="false">L54+C55</f>
        <v>237000</v>
      </c>
    </row>
    <row r="56" customFormat="false" ht="15" hidden="false" customHeight="false" outlineLevel="0" collapsed="false">
      <c r="A56" s="33" t="n">
        <v>52</v>
      </c>
      <c r="B56" s="34" t="n">
        <f aca="false">EDATE(B55,1)</f>
        <v>47209</v>
      </c>
      <c r="C56" s="35" t="n">
        <f aca="false">Assumptions!$C$6+(YEAR(B56)-YEAR(Assumptions!$C$4))*Assumptions!$C$7</f>
        <v>7000</v>
      </c>
      <c r="D56" s="36" t="n">
        <f aca="false">Assumptions!$D$19*(1+Assumptions!$F$19)^((B56-Assumptions!$C$4)/365)</f>
        <v>121.395936212545</v>
      </c>
      <c r="E56" s="37" t="n">
        <f aca="false">C56/D56</f>
        <v>57.6625562468919</v>
      </c>
      <c r="F56" s="37" t="n">
        <f aca="false">F55+E56</f>
        <v>2487.89872366979</v>
      </c>
      <c r="G56" s="35" t="n">
        <f aca="false">F56*D56</f>
        <v>302020.794761891</v>
      </c>
      <c r="H56" s="36" t="n">
        <f aca="false">Assumptions!$D$20*(1+Assumptions!$F$20)^((B56-Assumptions!$C$4)/365)</f>
        <v>111.08432835284</v>
      </c>
      <c r="I56" s="37" t="n">
        <f aca="false">C56/H56</f>
        <v>63.0151894852866</v>
      </c>
      <c r="J56" s="37" t="n">
        <f aca="false">J55+I56</f>
        <v>2694.09898178872</v>
      </c>
      <c r="K56" s="35" t="n">
        <f aca="false">J56*H56</f>
        <v>299272.17590807</v>
      </c>
      <c r="L56" s="35" t="n">
        <f aca="false">L55+C56</f>
        <v>244000</v>
      </c>
    </row>
    <row r="57" customFormat="false" ht="15" hidden="false" customHeight="false" outlineLevel="0" collapsed="false">
      <c r="A57" s="33" t="n">
        <v>53</v>
      </c>
      <c r="B57" s="34" t="n">
        <f aca="false">EDATE(B56,1)</f>
        <v>47239</v>
      </c>
      <c r="C57" s="35" t="n">
        <f aca="false">Assumptions!$C$6+(YEAR(B57)-YEAR(Assumptions!$C$4))*Assumptions!$C$7</f>
        <v>7000</v>
      </c>
      <c r="D57" s="36" t="n">
        <f aca="false">Assumptions!$D$19*(1+Assumptions!$F$19)^((B57-Assumptions!$C$4)/365)</f>
        <v>122.531984047078</v>
      </c>
      <c r="E57" s="37" t="n">
        <f aca="false">C57/D57</f>
        <v>57.1279413651748</v>
      </c>
      <c r="F57" s="37" t="n">
        <f aca="false">F56+E57</f>
        <v>2545.02666503496</v>
      </c>
      <c r="G57" s="35" t="n">
        <f aca="false">F57*D57</f>
        <v>311847.166719452</v>
      </c>
      <c r="H57" s="36" t="n">
        <f aca="false">Assumptions!$D$20*(1+Assumptions!$F$20)^((B57-Assumptions!$C$4)/365)</f>
        <v>112.080999632984</v>
      </c>
      <c r="I57" s="37" t="n">
        <f aca="false">C57/H57</f>
        <v>62.4548319779617</v>
      </c>
      <c r="J57" s="37" t="n">
        <f aca="false">J56+I57</f>
        <v>2756.55381376668</v>
      </c>
      <c r="K57" s="35" t="n">
        <f aca="false">J57*H57</f>
        <v>308957.306989084</v>
      </c>
      <c r="L57" s="35" t="n">
        <f aca="false">L56+C57</f>
        <v>251000</v>
      </c>
    </row>
    <row r="58" customFormat="false" ht="15" hidden="false" customHeight="false" outlineLevel="0" collapsed="false">
      <c r="A58" s="33" t="n">
        <v>54</v>
      </c>
      <c r="B58" s="34" t="n">
        <f aca="false">EDATE(B57,1)</f>
        <v>47270</v>
      </c>
      <c r="C58" s="35" t="n">
        <f aca="false">Assumptions!$C$6+(YEAR(B58)-YEAR(Assumptions!$C$4))*Assumptions!$C$7</f>
        <v>7000</v>
      </c>
      <c r="D58" s="36" t="n">
        <f aca="false">Assumptions!$D$19*(1+Assumptions!$F$19)^((B58-Assumptions!$C$4)/365)</f>
        <v>123.717070142559</v>
      </c>
      <c r="E58" s="37" t="n">
        <f aca="false">C58/D58</f>
        <v>56.5807126852738</v>
      </c>
      <c r="F58" s="37" t="n">
        <f aca="false">F57+E58</f>
        <v>2601.60737772024</v>
      </c>
      <c r="G58" s="35" t="n">
        <f aca="false">F58*D58</f>
        <v>321863.242432814</v>
      </c>
      <c r="H58" s="36" t="n">
        <f aca="false">Assumptions!$D$20*(1+Assumptions!$F$20)^((B58-Assumptions!$C$4)/365)</f>
        <v>113.1202886468</v>
      </c>
      <c r="I58" s="37" t="n">
        <f aca="false">C58/H58</f>
        <v>61.88103021781</v>
      </c>
      <c r="J58" s="37" t="n">
        <f aca="false">J57+I58</f>
        <v>2818.43484398449</v>
      </c>
      <c r="K58" s="35" t="n">
        <f aca="false">J58*H58</f>
        <v>318822.163083723</v>
      </c>
      <c r="L58" s="35" t="n">
        <f aca="false">L57+C58</f>
        <v>258000</v>
      </c>
    </row>
    <row r="59" customFormat="false" ht="15" hidden="false" customHeight="false" outlineLevel="0" collapsed="false">
      <c r="A59" s="38" t="n">
        <v>55</v>
      </c>
      <c r="B59" s="39" t="n">
        <f aca="false">EDATE(B58,1)</f>
        <v>47300</v>
      </c>
      <c r="C59" s="40" t="n">
        <f aca="false">Assumptions!$C$6+(YEAR(B59)-YEAR(Assumptions!$C$4))*Assumptions!$C$7</f>
        <v>7000</v>
      </c>
      <c r="D59" s="41" t="n">
        <f aca="false">Assumptions!$D$19*(1+Assumptions!$F$19)^((B59-Assumptions!$C$4)/365)</f>
        <v>124.874839619983</v>
      </c>
      <c r="E59" s="42" t="n">
        <f aca="false">C59/D59</f>
        <v>56.0561280503125</v>
      </c>
      <c r="F59" s="42" t="n">
        <f aca="false">F58+E59</f>
        <v>2657.66350577055</v>
      </c>
      <c r="G59" s="40" t="n">
        <f aca="false">F59*D59</f>
        <v>331875.304046979</v>
      </c>
      <c r="H59" s="41" t="n">
        <f aca="false">Assumptions!$D$20*(1+Assumptions!$F$20)^((B59-Assumptions!$C$4)/365)</f>
        <v>114.135226978495</v>
      </c>
      <c r="I59" s="42" t="n">
        <f aca="false">C59/H59</f>
        <v>61.3307581306072</v>
      </c>
      <c r="J59" s="42" t="n">
        <f aca="false">J58+I59</f>
        <v>2879.7656021151</v>
      </c>
      <c r="K59" s="40" t="n">
        <f aca="false">J59*H59</f>
        <v>328682.700642268</v>
      </c>
      <c r="L59" s="40" t="n">
        <f aca="false">L58+C59</f>
        <v>265000</v>
      </c>
    </row>
    <row r="60" customFormat="false" ht="15" hidden="false" customHeight="false" outlineLevel="0" collapsed="false">
      <c r="A60" s="38" t="n">
        <v>56</v>
      </c>
      <c r="B60" s="39" t="n">
        <f aca="false">EDATE(B59,1)</f>
        <v>47331</v>
      </c>
      <c r="C60" s="40" t="n">
        <f aca="false">Assumptions!$C$6+(YEAR(B60)-YEAR(Assumptions!$C$4))*Assumptions!$C$7</f>
        <v>7000</v>
      </c>
      <c r="D60" s="41" t="n">
        <f aca="false">Assumptions!$D$19*(1+Assumptions!$F$19)^((B60-Assumptions!$C$4)/365)</f>
        <v>126.082584987529</v>
      </c>
      <c r="E60" s="42" t="n">
        <f aca="false">C60/D60</f>
        <v>55.5191662725853</v>
      </c>
      <c r="F60" s="42" t="n">
        <f aca="false">F59+E60</f>
        <v>2713.18267204314</v>
      </c>
      <c r="G60" s="40" t="n">
        <f aca="false">F60*D60</f>
        <v>342085.08483457</v>
      </c>
      <c r="H60" s="41" t="n">
        <f aca="false">Assumptions!$D$20*(1+Assumptions!$F$20)^((B60-Assumptions!$C$4)/365)</f>
        <v>115.193564144263</v>
      </c>
      <c r="I60" s="42" t="n">
        <f aca="false">C60/H60</f>
        <v>60.767283762776</v>
      </c>
      <c r="J60" s="42" t="n">
        <f aca="false">J59+I60</f>
        <v>2940.53288587787</v>
      </c>
      <c r="K60" s="40" t="n">
        <f aca="false">J60*H60</f>
        <v>338730.463607689</v>
      </c>
      <c r="L60" s="40" t="n">
        <f aca="false">L59+C60</f>
        <v>272000</v>
      </c>
    </row>
    <row r="61" customFormat="false" ht="15" hidden="false" customHeight="false" outlineLevel="0" collapsed="false">
      <c r="A61" s="38" t="n">
        <v>57</v>
      </c>
      <c r="B61" s="39" t="n">
        <f aca="false">EDATE(B60,1)</f>
        <v>47362</v>
      </c>
      <c r="C61" s="40" t="n">
        <f aca="false">Assumptions!$C$6+(YEAR(B61)-YEAR(Assumptions!$C$4))*Assumptions!$C$7</f>
        <v>7000</v>
      </c>
      <c r="D61" s="41" t="n">
        <f aca="false">Assumptions!$D$19*(1+Assumptions!$F$19)^((B61-Assumptions!$C$4)/365)</f>
        <v>127.302011241932</v>
      </c>
      <c r="E61" s="42" t="n">
        <f aca="false">C61/D61</f>
        <v>54.9873480529449</v>
      </c>
      <c r="F61" s="42" t="n">
        <f aca="false">F60+E61</f>
        <v>2768.17002009608</v>
      </c>
      <c r="G61" s="40" t="n">
        <f aca="false">F61*D61</f>
        <v>352393.61101785</v>
      </c>
      <c r="H61" s="41" t="n">
        <f aca="false">Assumptions!$D$20*(1+Assumptions!$F$20)^((B61-Assumptions!$C$4)/365)</f>
        <v>116.261714910847</v>
      </c>
      <c r="I61" s="42" t="n">
        <f aca="false">C61/H61</f>
        <v>60.2089862975771</v>
      </c>
      <c r="J61" s="42" t="n">
        <f aca="false">J60+I61</f>
        <v>3000.74187217545</v>
      </c>
      <c r="K61" s="40" t="n">
        <f aca="false">J61*H61</f>
        <v>348871.396063904</v>
      </c>
      <c r="L61" s="40" t="n">
        <f aca="false">L60+C61</f>
        <v>279000</v>
      </c>
    </row>
    <row r="62" customFormat="false" ht="15" hidden="false" customHeight="false" outlineLevel="0" collapsed="false">
      <c r="A62" s="38" t="n">
        <v>58</v>
      </c>
      <c r="B62" s="39" t="n">
        <f aca="false">EDATE(B61,1)</f>
        <v>47392</v>
      </c>
      <c r="C62" s="40" t="n">
        <f aca="false">Assumptions!$C$6+(YEAR(B62)-YEAR(Assumptions!$C$4))*Assumptions!$C$7</f>
        <v>7000</v>
      </c>
      <c r="D62" s="41" t="n">
        <f aca="false">Assumptions!$D$19*(1+Assumptions!$F$19)^((B62-Assumptions!$C$4)/365)</f>
        <v>128.4933293265</v>
      </c>
      <c r="E62" s="42" t="n">
        <f aca="false">C62/D62</f>
        <v>54.4775362012226</v>
      </c>
      <c r="F62" s="42" t="n">
        <f aca="false">F61+E62</f>
        <v>2822.6475562973</v>
      </c>
      <c r="G62" s="40" t="n">
        <f aca="false">F62*D62</f>
        <v>362691.382023948</v>
      </c>
      <c r="H62" s="41" t="n">
        <f aca="false">Assumptions!$D$20*(1+Assumptions!$F$20)^((B62-Assumptions!$C$4)/365)</f>
        <v>117.30483876054</v>
      </c>
      <c r="I62" s="42" t="n">
        <f aca="false">C62/H62</f>
        <v>59.6735827265358</v>
      </c>
      <c r="J62" s="42" t="n">
        <f aca="false">J61+I62</f>
        <v>3060.41545490199</v>
      </c>
      <c r="K62" s="40" t="n">
        <f aca="false">J62*H62</f>
        <v>359001.541477541</v>
      </c>
      <c r="L62" s="40" t="n">
        <f aca="false">L61+C62</f>
        <v>286000</v>
      </c>
    </row>
    <row r="63" customFormat="false" ht="15" hidden="false" customHeight="false" outlineLevel="0" collapsed="false">
      <c r="A63" s="38" t="n">
        <v>59</v>
      </c>
      <c r="B63" s="39" t="n">
        <f aca="false">EDATE(B62,1)</f>
        <v>47423</v>
      </c>
      <c r="C63" s="40" t="n">
        <f aca="false">Assumptions!$C$6+(YEAR(B63)-YEAR(Assumptions!$C$4))*Assumptions!$C$7</f>
        <v>7000</v>
      </c>
      <c r="D63" s="41" t="n">
        <f aca="false">Assumptions!$D$19*(1+Assumptions!$F$19)^((B63-Assumptions!$C$4)/365)</f>
        <v>129.736071449147</v>
      </c>
      <c r="E63" s="42" t="n">
        <f aca="false">C63/D63</f>
        <v>53.9556957583981</v>
      </c>
      <c r="F63" s="42" t="n">
        <f aca="false">F62+E63</f>
        <v>2876.6032520557</v>
      </c>
      <c r="G63" s="40" t="n">
        <f aca="false">F63*D63</f>
        <v>373199.205039548</v>
      </c>
      <c r="H63" s="41" t="n">
        <f aca="false">Assumptions!$D$20*(1+Assumptions!$F$20)^((B63-Assumptions!$C$4)/365)</f>
        <v>118.392566659028</v>
      </c>
      <c r="I63" s="42" t="n">
        <f aca="false">C63/H63</f>
        <v>59.1253336044321</v>
      </c>
      <c r="J63" s="42" t="n">
        <f aca="false">J62+I63</f>
        <v>3119.54078850642</v>
      </c>
      <c r="K63" s="40" t="n">
        <f aca="false">J63*H63</f>
        <v>369330.440748803</v>
      </c>
      <c r="L63" s="40" t="n">
        <f aca="false">L62+C63</f>
        <v>293000</v>
      </c>
    </row>
    <row r="64" customFormat="false" ht="15" hidden="false" customHeight="false" outlineLevel="0" collapsed="false">
      <c r="A64" s="38" t="n">
        <v>60</v>
      </c>
      <c r="B64" s="39" t="n">
        <f aca="false">EDATE(B63,1)</f>
        <v>47453</v>
      </c>
      <c r="C64" s="40" t="n">
        <f aca="false">Assumptions!$C$6+(YEAR(B64)-YEAR(Assumptions!$C$4))*Assumptions!$C$7</f>
        <v>7000</v>
      </c>
      <c r="D64" s="41" t="n">
        <f aca="false">Assumptions!$D$19*(1+Assumptions!$F$19)^((B64-Assumptions!$C$4)/365)</f>
        <v>130.950167963651</v>
      </c>
      <c r="E64" s="42" t="n">
        <f aca="false">C64/D64</f>
        <v>53.4554488081531</v>
      </c>
      <c r="F64" s="42" t="n">
        <f aca="false">F63+E64</f>
        <v>2930.05870086385</v>
      </c>
      <c r="G64" s="40" t="n">
        <f aca="false">F64*D64</f>
        <v>383691.679021479</v>
      </c>
      <c r="H64" s="41" t="n">
        <f aca="false">Assumptions!$D$20*(1+Assumptions!$F$20)^((B64-Assumptions!$C$4)/365)</f>
        <v>119.454808945778</v>
      </c>
      <c r="I64" s="42" t="n">
        <f aca="false">C64/H64</f>
        <v>58.5995663278604</v>
      </c>
      <c r="J64" s="42" t="n">
        <f aca="false">J63+I64</f>
        <v>3178.14035483428</v>
      </c>
      <c r="K64" s="40" t="n">
        <f aca="false">J64*H64</f>
        <v>379644.148889596</v>
      </c>
      <c r="L64" s="40" t="n">
        <f aca="false">L63+C64</f>
        <v>300000</v>
      </c>
    </row>
    <row r="65" customFormat="false" ht="15" hidden="false" customHeight="false" outlineLevel="0" collapsed="false">
      <c r="A65" s="33" t="n">
        <v>61</v>
      </c>
      <c r="B65" s="34" t="n">
        <f aca="false">EDATE(B64,1)</f>
        <v>47484</v>
      </c>
      <c r="C65" s="35" t="n">
        <f aca="false">Assumptions!$C$6+(YEAR(B65)-YEAR(Assumptions!$C$4))*Assumptions!$C$7</f>
        <v>8000</v>
      </c>
      <c r="D65" s="36" t="n">
        <f aca="false">Assumptions!$D$19*(1+Assumptions!$F$19)^((B65-Assumptions!$C$4)/365)</f>
        <v>132.216671762325</v>
      </c>
      <c r="E65" s="37" t="n">
        <f aca="false">C65/D65</f>
        <v>60.5067416488969</v>
      </c>
      <c r="F65" s="37" t="n">
        <f aca="false">F64+E65</f>
        <v>2990.56544251275</v>
      </c>
      <c r="G65" s="35" t="n">
        <f aca="false">F65*D65</f>
        <v>395402.609496461</v>
      </c>
      <c r="H65" s="36" t="n">
        <f aca="false">Assumptions!$D$20*(1+Assumptions!$F$20)^((B65-Assumptions!$C$4)/365)</f>
        <v>120.56247278703</v>
      </c>
      <c r="I65" s="37" t="n">
        <f aca="false">C65/H65</f>
        <v>66.3556396535743</v>
      </c>
      <c r="J65" s="37" t="n">
        <f aca="false">J64+I65</f>
        <v>3244.49599448785</v>
      </c>
      <c r="K65" s="35" t="n">
        <f aca="false">J65*H65</f>
        <v>391164.460043069</v>
      </c>
      <c r="L65" s="35" t="n">
        <f aca="false">L64+C65</f>
        <v>308000</v>
      </c>
    </row>
    <row r="66" customFormat="false" ht="15" hidden="false" customHeight="false" outlineLevel="0" collapsed="false">
      <c r="A66" s="33" t="n">
        <v>62</v>
      </c>
      <c r="B66" s="34" t="n">
        <f aca="false">EDATE(B65,1)</f>
        <v>47515</v>
      </c>
      <c r="C66" s="35" t="n">
        <f aca="false">Assumptions!$C$6+(YEAR(B66)-YEAR(Assumptions!$C$4))*Assumptions!$C$7</f>
        <v>8000</v>
      </c>
      <c r="D66" s="36" t="n">
        <f aca="false">Assumptions!$D$19*(1+Assumptions!$F$19)^((B66-Assumptions!$C$4)/365)</f>
        <v>133.495424738659</v>
      </c>
      <c r="E66" s="37" t="n">
        <f aca="false">C66/D66</f>
        <v>59.9271474334151</v>
      </c>
      <c r="F66" s="37" t="n">
        <f aca="false">F65+E66</f>
        <v>3050.49258994617</v>
      </c>
      <c r="G66" s="35" t="n">
        <f aca="false">F66*D66</f>
        <v>407226.803956996</v>
      </c>
      <c r="H66" s="36" t="n">
        <f aca="false">Assumptions!$D$20*(1+Assumptions!$F$20)^((B66-Assumptions!$C$4)/365)</f>
        <v>121.680407618592</v>
      </c>
      <c r="I66" s="37" t="n">
        <f aca="false">C66/H66</f>
        <v>65.745999348359</v>
      </c>
      <c r="J66" s="37" t="n">
        <f aca="false">J65+I66</f>
        <v>3310.24199383621</v>
      </c>
      <c r="K66" s="35" t="n">
        <f aca="false">J66*H66</f>
        <v>402791.595126171</v>
      </c>
      <c r="L66" s="35" t="n">
        <f aca="false">L65+C66</f>
        <v>316000</v>
      </c>
    </row>
    <row r="67" customFormat="false" ht="15" hidden="false" customHeight="false" outlineLevel="0" collapsed="false">
      <c r="A67" s="33" t="n">
        <v>63</v>
      </c>
      <c r="B67" s="34" t="n">
        <f aca="false">EDATE(B66,1)</f>
        <v>47543</v>
      </c>
      <c r="C67" s="35" t="n">
        <f aca="false">Assumptions!$C$6+(YEAR(B67)-YEAR(Assumptions!$C$4))*Assumptions!$C$7</f>
        <v>8000</v>
      </c>
      <c r="D67" s="36" t="n">
        <f aca="false">Assumptions!$D$19*(1+Assumptions!$F$19)^((B67-Assumptions!$C$4)/365)</f>
        <v>134.661054375953</v>
      </c>
      <c r="E67" s="37" t="n">
        <f aca="false">C67/D67</f>
        <v>59.4084164651289</v>
      </c>
      <c r="F67" s="37" t="n">
        <f aca="false">F66+E67</f>
        <v>3109.9010064113</v>
      </c>
      <c r="G67" s="35" t="n">
        <f aca="false">F67*D67</f>
        <v>418782.548528183</v>
      </c>
      <c r="H67" s="36" t="n">
        <f aca="false">Assumptions!$D$20*(1+Assumptions!$F$20)^((B67-Assumptions!$C$4)/365)</f>
        <v>122.699062545569</v>
      </c>
      <c r="I67" s="37" t="n">
        <f aca="false">C67/H67</f>
        <v>65.20017214499</v>
      </c>
      <c r="J67" s="37" t="n">
        <f aca="false">J66+I67</f>
        <v>3375.4421659812</v>
      </c>
      <c r="K67" s="35" t="n">
        <f aca="false">J67*H67</f>
        <v>414163.589442679</v>
      </c>
      <c r="L67" s="35" t="n">
        <f aca="false">L66+C67</f>
        <v>324000</v>
      </c>
    </row>
    <row r="68" customFormat="false" ht="15" hidden="false" customHeight="false" outlineLevel="0" collapsed="false">
      <c r="A68" s="33" t="n">
        <v>64</v>
      </c>
      <c r="B68" s="34" t="n">
        <f aca="false">EDATE(B67,1)</f>
        <v>47574</v>
      </c>
      <c r="C68" s="35" t="n">
        <f aca="false">Assumptions!$C$6+(YEAR(B68)-YEAR(Assumptions!$C$4))*Assumptions!$C$7</f>
        <v>8000</v>
      </c>
      <c r="D68" s="36" t="n">
        <f aca="false">Assumptions!$D$19*(1+Assumptions!$F$19)^((B68-Assumptions!$C$4)/365)</f>
        <v>135.963448558051</v>
      </c>
      <c r="E68" s="37" t="n">
        <f aca="false">C68/D68</f>
        <v>58.8393431090734</v>
      </c>
      <c r="F68" s="37" t="n">
        <f aca="false">F67+E68</f>
        <v>3168.74034952037</v>
      </c>
      <c r="G68" s="35" t="n">
        <f aca="false">F68*D68</f>
        <v>430832.865505832</v>
      </c>
      <c r="H68" s="36" t="n">
        <f aca="false">Assumptions!$D$20*(1+Assumptions!$F$20)^((B68-Assumptions!$C$4)/365)</f>
        <v>123.836809247746</v>
      </c>
      <c r="I68" s="37" t="n">
        <f aca="false">C68/H68</f>
        <v>64.6011476603482</v>
      </c>
      <c r="J68" s="37" t="n">
        <f aca="false">J67+I68</f>
        <v>3440.04331364155</v>
      </c>
      <c r="K68" s="35" t="n">
        <f aca="false">J68*H68</f>
        <v>426003.987635412</v>
      </c>
      <c r="L68" s="35" t="n">
        <f aca="false">L67+C68</f>
        <v>332000</v>
      </c>
    </row>
    <row r="69" customFormat="false" ht="15" hidden="false" customHeight="false" outlineLevel="0" collapsed="false">
      <c r="A69" s="33" t="n">
        <v>65</v>
      </c>
      <c r="B69" s="34" t="n">
        <f aca="false">EDATE(B68,1)</f>
        <v>47604</v>
      </c>
      <c r="C69" s="35" t="n">
        <f aca="false">Assumptions!$C$6+(YEAR(B69)-YEAR(Assumptions!$C$4))*Assumptions!$C$7</f>
        <v>8000</v>
      </c>
      <c r="D69" s="36" t="n">
        <f aca="false">Assumptions!$D$19*(1+Assumptions!$F$19)^((B69-Assumptions!$C$4)/365)</f>
        <v>137.235822132727</v>
      </c>
      <c r="E69" s="37" t="n">
        <f aca="false">C69/D69</f>
        <v>58.2938177195661</v>
      </c>
      <c r="F69" s="37" t="n">
        <f aca="false">F68+E69</f>
        <v>3227.03416723993</v>
      </c>
      <c r="G69" s="35" t="n">
        <f aca="false">F69*D69</f>
        <v>442864.686991573</v>
      </c>
      <c r="H69" s="36" t="n">
        <f aca="false">Assumptions!$D$20*(1+Assumptions!$F$20)^((B69-Assumptions!$C$4)/365)</f>
        <v>124.94789839085</v>
      </c>
      <c r="I69" s="37" t="n">
        <f aca="false">C69/H69</f>
        <v>64.0266871474312</v>
      </c>
      <c r="J69" s="37" t="n">
        <f aca="false">J68+I69</f>
        <v>3504.07000078898</v>
      </c>
      <c r="K69" s="35" t="n">
        <f aca="false">J69*H69</f>
        <v>437826.182413009</v>
      </c>
      <c r="L69" s="35" t="n">
        <f aca="false">L68+C69</f>
        <v>340000</v>
      </c>
    </row>
    <row r="70" customFormat="false" ht="15" hidden="false" customHeight="false" outlineLevel="0" collapsed="false">
      <c r="A70" s="33" t="n">
        <v>66</v>
      </c>
      <c r="B70" s="34" t="n">
        <f aca="false">EDATE(B69,1)</f>
        <v>47635</v>
      </c>
      <c r="C70" s="35" t="n">
        <f aca="false">Assumptions!$C$6+(YEAR(B70)-YEAR(Assumptions!$C$4))*Assumptions!$C$7</f>
        <v>8000</v>
      </c>
      <c r="D70" s="36" t="n">
        <f aca="false">Assumptions!$D$19*(1+Assumptions!$F$19)^((B70-Assumptions!$C$4)/365)</f>
        <v>138.563118559666</v>
      </c>
      <c r="E70" s="37" t="n">
        <f aca="false">C70/D70</f>
        <v>57.7354211074222</v>
      </c>
      <c r="F70" s="37" t="n">
        <f aca="false">F69+E70</f>
        <v>3284.76958834736</v>
      </c>
      <c r="G70" s="35" t="n">
        <f aca="false">F70*D70</f>
        <v>455147.917911361</v>
      </c>
      <c r="H70" s="36" t="n">
        <f aca="false">Assumptions!$D$20*(1+Assumptions!$F$20)^((B70-Assumptions!$C$4)/365)</f>
        <v>126.106497783452</v>
      </c>
      <c r="I70" s="37" t="n">
        <f aca="false">C70/H70</f>
        <v>63.4384440184633</v>
      </c>
      <c r="J70" s="37" t="n">
        <f aca="false">J69+I70</f>
        <v>3567.50844480745</v>
      </c>
      <c r="K70" s="35" t="n">
        <f aca="false">J70*H70</f>
        <v>449885.995787557</v>
      </c>
      <c r="L70" s="35" t="n">
        <f aca="false">L69+C70</f>
        <v>348000</v>
      </c>
    </row>
    <row r="71" customFormat="false" ht="15" hidden="false" customHeight="false" outlineLevel="0" collapsed="false">
      <c r="A71" s="38" t="n">
        <v>67</v>
      </c>
      <c r="B71" s="39" t="n">
        <f aca="false">EDATE(B70,1)</f>
        <v>47665</v>
      </c>
      <c r="C71" s="40" t="n">
        <f aca="false">Assumptions!$C$6+(YEAR(B71)-YEAR(Assumptions!$C$4))*Assumptions!$C$7</f>
        <v>8000</v>
      </c>
      <c r="D71" s="41" t="n">
        <f aca="false">Assumptions!$D$19*(1+Assumptions!$F$19)^((B71-Assumptions!$C$4)/365)</f>
        <v>139.859820374381</v>
      </c>
      <c r="E71" s="42" t="n">
        <f aca="false">C71/D71</f>
        <v>57.2001306635842</v>
      </c>
      <c r="F71" s="42" t="n">
        <f aca="false">F70+E71</f>
        <v>3341.96971901094</v>
      </c>
      <c r="G71" s="40" t="n">
        <f aca="false">F71*D71</f>
        <v>467407.28459749</v>
      </c>
      <c r="H71" s="41" t="n">
        <f aca="false">Assumptions!$D$20*(1+Assumptions!$F$20)^((B71-Assumptions!$C$4)/365)</f>
        <v>127.237951035626</v>
      </c>
      <c r="I71" s="42" t="n">
        <f aca="false">C71/H71</f>
        <v>62.8743227542234</v>
      </c>
      <c r="J71" s="42" t="n">
        <f aca="false">J70+I71</f>
        <v>3630.38276756167</v>
      </c>
      <c r="K71" s="40" t="n">
        <f aca="false">J71*H71</f>
        <v>461922.464819591</v>
      </c>
      <c r="L71" s="40" t="n">
        <f aca="false">L70+C71</f>
        <v>356000</v>
      </c>
    </row>
    <row r="72" customFormat="false" ht="15" hidden="false" customHeight="false" outlineLevel="0" collapsed="false">
      <c r="A72" s="38" t="n">
        <v>68</v>
      </c>
      <c r="B72" s="39" t="n">
        <f aca="false">EDATE(B71,1)</f>
        <v>47696</v>
      </c>
      <c r="C72" s="40" t="n">
        <f aca="false">Assumptions!$C$6+(YEAR(B72)-YEAR(Assumptions!$C$4))*Assumptions!$C$7</f>
        <v>8000</v>
      </c>
      <c r="D72" s="41" t="n">
        <f aca="false">Assumptions!$D$19*(1+Assumptions!$F$19)^((B72-Assumptions!$C$4)/365)</f>
        <v>141.212495186033</v>
      </c>
      <c r="E72" s="42" t="n">
        <f aca="false">C72/D72</f>
        <v>56.6522104822299</v>
      </c>
      <c r="F72" s="42" t="n">
        <f aca="false">F71+E72</f>
        <v>3398.62192949317</v>
      </c>
      <c r="G72" s="40" t="n">
        <f aca="false">F72*D72</f>
        <v>479927.882857699</v>
      </c>
      <c r="H72" s="41" t="n">
        <f aca="false">Assumptions!$D$20*(1+Assumptions!$F$20)^((B72-Assumptions!$C$4)/365)</f>
        <v>128.417785308025</v>
      </c>
      <c r="I72" s="42" t="n">
        <f aca="false">C72/H72</f>
        <v>62.2966669360562</v>
      </c>
      <c r="J72" s="42" t="n">
        <f aca="false">J71+I72</f>
        <v>3692.67943449772</v>
      </c>
      <c r="K72" s="40" t="n">
        <f aca="false">J72*H72</f>
        <v>474205.714830688</v>
      </c>
      <c r="L72" s="40" t="n">
        <f aca="false">L71+C72</f>
        <v>364000</v>
      </c>
    </row>
    <row r="73" customFormat="false" ht="15" hidden="false" customHeight="false" outlineLevel="0" collapsed="false">
      <c r="A73" s="38" t="n">
        <v>69</v>
      </c>
      <c r="B73" s="39" t="n">
        <f aca="false">EDATE(B72,1)</f>
        <v>47727</v>
      </c>
      <c r="C73" s="40" t="n">
        <f aca="false">Assumptions!$C$6+(YEAR(B73)-YEAR(Assumptions!$C$4))*Assumptions!$C$7</f>
        <v>8000</v>
      </c>
      <c r="D73" s="41" t="n">
        <f aca="false">Assumptions!$D$19*(1+Assumptions!$F$19)^((B73-Assumptions!$C$4)/365)</f>
        <v>142.578252590964</v>
      </c>
      <c r="E73" s="42" t="n">
        <f aca="false">C73/D73</f>
        <v>56.1095388295356</v>
      </c>
      <c r="F73" s="42" t="n">
        <f aca="false">F72+E73</f>
        <v>3454.73146832271</v>
      </c>
      <c r="G73" s="40" t="n">
        <f aca="false">F73*D73</f>
        <v>492569.575924465</v>
      </c>
      <c r="H73" s="41" t="n">
        <f aca="false">Assumptions!$D$20*(1+Assumptions!$F$20)^((B73-Assumptions!$C$4)/365)</f>
        <v>129.608559782612</v>
      </c>
      <c r="I73" s="42" t="n">
        <f aca="false">C73/H73</f>
        <v>61.7243183121401</v>
      </c>
      <c r="J73" s="42" t="n">
        <f aca="false">J72+I73</f>
        <v>3754.40375280986</v>
      </c>
      <c r="K73" s="40" t="n">
        <f aca="false">J73*H73</f>
        <v>486602.863244121</v>
      </c>
      <c r="L73" s="40" t="n">
        <f aca="false">L72+C73</f>
        <v>372000</v>
      </c>
    </row>
    <row r="74" customFormat="false" ht="15" hidden="false" customHeight="false" outlineLevel="0" collapsed="false">
      <c r="A74" s="38" t="n">
        <v>70</v>
      </c>
      <c r="B74" s="39" t="n">
        <f aca="false">EDATE(B73,1)</f>
        <v>47757</v>
      </c>
      <c r="C74" s="40" t="n">
        <f aca="false">Assumptions!$C$6+(YEAR(B74)-YEAR(Assumptions!$C$4))*Assumptions!$C$7</f>
        <v>8000</v>
      </c>
      <c r="D74" s="41" t="n">
        <f aca="false">Assumptions!$D$19*(1+Assumptions!$F$19)^((B74-Assumptions!$C$4)/365)</f>
        <v>143.912528845679</v>
      </c>
      <c r="E74" s="42" t="n">
        <f aca="false">C74/D74</f>
        <v>55.5893226543088</v>
      </c>
      <c r="F74" s="42" t="n">
        <f aca="false">F73+E74</f>
        <v>3510.32079097702</v>
      </c>
      <c r="G74" s="40" t="n">
        <f aca="false">F74*D74</f>
        <v>505179.142089068</v>
      </c>
      <c r="H74" s="41" t="n">
        <f aca="false">Assumptions!$D$20*(1+Assumptions!$F$20)^((B74-Assumptions!$C$4)/365)</f>
        <v>130.77143425025</v>
      </c>
      <c r="I74" s="42" t="n">
        <f aca="false">C74/H74</f>
        <v>61.175439772962</v>
      </c>
      <c r="J74" s="42" t="n">
        <f aca="false">J73+I74</f>
        <v>3815.57919258283</v>
      </c>
      <c r="K74" s="40" t="n">
        <f aca="false">J74*H74</f>
        <v>498968.763509465</v>
      </c>
      <c r="L74" s="40" t="n">
        <f aca="false">L73+C74</f>
        <v>380000</v>
      </c>
    </row>
    <row r="75" customFormat="false" ht="15" hidden="false" customHeight="false" outlineLevel="0" collapsed="false">
      <c r="A75" s="38" t="n">
        <v>71</v>
      </c>
      <c r="B75" s="39" t="n">
        <f aca="false">EDATE(B74,1)</f>
        <v>47788</v>
      </c>
      <c r="C75" s="40" t="n">
        <f aca="false">Assumptions!$C$6+(YEAR(B75)-YEAR(Assumptions!$C$4))*Assumptions!$C$7</f>
        <v>8000</v>
      </c>
      <c r="D75" s="41" t="n">
        <f aca="false">Assumptions!$D$19*(1+Assumptions!$F$19)^((B75-Assumptions!$C$4)/365)</f>
        <v>145.304400023045</v>
      </c>
      <c r="E75" s="42" t="n">
        <f aca="false">C75/D75</f>
        <v>55.0568324065287</v>
      </c>
      <c r="F75" s="42" t="n">
        <f aca="false">F74+E75</f>
        <v>3565.37762338354</v>
      </c>
      <c r="G75" s="40" t="n">
        <f aca="false">F75*D75</f>
        <v>518065.056421337</v>
      </c>
      <c r="H75" s="41" t="n">
        <f aca="false">Assumptions!$D$20*(1+Assumptions!$F$20)^((B75-Assumptions!$C$4)/365)</f>
        <v>131.984033311484</v>
      </c>
      <c r="I75" s="42" t="n">
        <f aca="false">C75/H75</f>
        <v>60.6133923875464</v>
      </c>
      <c r="J75" s="42" t="n">
        <f aca="false">J74+I75</f>
        <v>3876.19258497037</v>
      </c>
      <c r="K75" s="40" t="n">
        <f aca="false">J75*H75</f>
        <v>511595.531256459</v>
      </c>
      <c r="L75" s="40" t="n">
        <f aca="false">L74+C75</f>
        <v>388000</v>
      </c>
    </row>
    <row r="76" customFormat="false" ht="15" hidden="false" customHeight="false" outlineLevel="0" collapsed="false">
      <c r="A76" s="38" t="n">
        <v>72</v>
      </c>
      <c r="B76" s="39" t="n">
        <f aca="false">EDATE(B75,1)</f>
        <v>47818</v>
      </c>
      <c r="C76" s="40" t="n">
        <f aca="false">Assumptions!$C$6+(YEAR(B76)-YEAR(Assumptions!$C$4))*Assumptions!$C$7</f>
        <v>8000</v>
      </c>
      <c r="D76" s="41" t="n">
        <f aca="false">Assumptions!$D$19*(1+Assumptions!$F$19)^((B76-Assumptions!$C$4)/365)</f>
        <v>146.664188119289</v>
      </c>
      <c r="E76" s="42" t="n">
        <f aca="false">C76/D76</f>
        <v>54.54637633485</v>
      </c>
      <c r="F76" s="42" t="n">
        <f aca="false">F75+E76</f>
        <v>3619.92399971839</v>
      </c>
      <c r="G76" s="40" t="n">
        <f aca="false">F76*D76</f>
        <v>530913.214472229</v>
      </c>
      <c r="H76" s="41" t="n">
        <f aca="false">Assumptions!$D$20*(1+Assumptions!$F$20)^((B76-Assumptions!$C$4)/365)</f>
        <v>133.168221012753</v>
      </c>
      <c r="I76" s="42" t="n">
        <f aca="false">C76/H76</f>
        <v>60.0743926678563</v>
      </c>
      <c r="J76" s="42" t="n">
        <f aca="false">J75+I76</f>
        <v>3936.26697763823</v>
      </c>
      <c r="K76" s="40" t="n">
        <f aca="false">J76*H76</f>
        <v>524185.67084333</v>
      </c>
      <c r="L76" s="40" t="n">
        <f aca="false">L75+C76</f>
        <v>396000</v>
      </c>
    </row>
    <row r="77" customFormat="false" ht="15" hidden="false" customHeight="false" outlineLevel="0" collapsed="false">
      <c r="A77" s="33" t="n">
        <v>73</v>
      </c>
      <c r="B77" s="34" t="n">
        <f aca="false">EDATE(B76,1)</f>
        <v>47849</v>
      </c>
      <c r="C77" s="35" t="n">
        <f aca="false">Assumptions!$C$6+(YEAR(B77)-YEAR(Assumptions!$C$4))*Assumptions!$C$7</f>
        <v>9000</v>
      </c>
      <c r="D77" s="36" t="n">
        <f aca="false">Assumptions!$D$19*(1+Assumptions!$F$19)^((B77-Assumptions!$C$4)/365)</f>
        <v>148.082672373804</v>
      </c>
      <c r="E77" s="37" t="n">
        <f aca="false">C77/D77</f>
        <v>60.776861031258</v>
      </c>
      <c r="F77" s="37" t="n">
        <f aca="false">F76+E77</f>
        <v>3680.70086074965</v>
      </c>
      <c r="G77" s="35" t="n">
        <f aca="false">F77*D77</f>
        <v>545048.019668369</v>
      </c>
      <c r="H77" s="36" t="n">
        <f aca="false">Assumptions!$D$20*(1+Assumptions!$F$20)^((B77-Assumptions!$C$4)/365)</f>
        <v>134.403044662981</v>
      </c>
      <c r="I77" s="37" t="n">
        <f aca="false">C77/H77</f>
        <v>66.9627687569709</v>
      </c>
      <c r="J77" s="37" t="n">
        <f aca="false">J76+I77</f>
        <v>4003.2297463952</v>
      </c>
      <c r="K77" s="35" t="n">
        <f aca="false">J77*H77</f>
        <v>538046.266400927</v>
      </c>
      <c r="L77" s="35" t="n">
        <f aca="false">L76+C77</f>
        <v>405000</v>
      </c>
    </row>
    <row r="78" customFormat="false" ht="15" hidden="false" customHeight="false" outlineLevel="0" collapsed="false">
      <c r="A78" s="33" t="n">
        <v>74</v>
      </c>
      <c r="B78" s="34" t="n">
        <f aca="false">EDATE(B77,1)</f>
        <v>47880</v>
      </c>
      <c r="C78" s="35" t="n">
        <f aca="false">Assumptions!$C$6+(YEAR(B78)-YEAR(Assumptions!$C$4))*Assumptions!$C$7</f>
        <v>9000</v>
      </c>
      <c r="D78" s="36" t="n">
        <f aca="false">Assumptions!$D$19*(1+Assumptions!$F$19)^((B78-Assumptions!$C$4)/365)</f>
        <v>149.514875707298</v>
      </c>
      <c r="E78" s="37" t="n">
        <f aca="false">C78/D78</f>
        <v>60.1946793416</v>
      </c>
      <c r="F78" s="37" t="n">
        <f aca="false">F77+E78</f>
        <v>3740.89554009125</v>
      </c>
      <c r="G78" s="35" t="n">
        <f aca="false">F78*D78</f>
        <v>559319.53171073</v>
      </c>
      <c r="H78" s="36" t="n">
        <f aca="false">Assumptions!$D$20*(1+Assumptions!$F$20)^((B78-Assumptions!$C$4)/365)</f>
        <v>135.649318413206</v>
      </c>
      <c r="I78" s="37" t="n">
        <f aca="false">C78/H78</f>
        <v>66.3475504726443</v>
      </c>
      <c r="J78" s="37" t="n">
        <f aca="false">J77+I78</f>
        <v>4069.57729686784</v>
      </c>
      <c r="K78" s="35" t="n">
        <f aca="false">J78*H78</f>
        <v>552035.386549981</v>
      </c>
      <c r="L78" s="35" t="n">
        <f aca="false">L77+C78</f>
        <v>414000</v>
      </c>
    </row>
    <row r="79" customFormat="false" ht="15" hidden="false" customHeight="false" outlineLevel="0" collapsed="false">
      <c r="A79" s="33" t="n">
        <v>75</v>
      </c>
      <c r="B79" s="34" t="n">
        <f aca="false">EDATE(B78,1)</f>
        <v>47908</v>
      </c>
      <c r="C79" s="35" t="n">
        <f aca="false">Assumptions!$C$6+(YEAR(B79)-YEAR(Assumptions!$C$4))*Assumptions!$C$7</f>
        <v>9000</v>
      </c>
      <c r="D79" s="36" t="n">
        <f aca="false">Assumptions!$D$19*(1+Assumptions!$F$19)^((B79-Assumptions!$C$4)/365)</f>
        <v>150.820380901068</v>
      </c>
      <c r="E79" s="37" t="n">
        <f aca="false">C79/D79</f>
        <v>59.6736326100626</v>
      </c>
      <c r="F79" s="37" t="n">
        <f aca="false">F78+E79</f>
        <v>3800.56917270132</v>
      </c>
      <c r="G79" s="35" t="n">
        <f aca="false">F79*D79</f>
        <v>573203.290267668</v>
      </c>
      <c r="H79" s="36" t="n">
        <f aca="false">Assumptions!$D$20*(1+Assumptions!$F$20)^((B79-Assumptions!$C$4)/365)</f>
        <v>136.7849149258</v>
      </c>
      <c r="I79" s="37" t="n">
        <f aca="false">C79/H79</f>
        <v>65.7967291560045</v>
      </c>
      <c r="J79" s="37" t="n">
        <f aca="false">J78+I79</f>
        <v>4135.37402602385</v>
      </c>
      <c r="K79" s="35" t="n">
        <f aca="false">J79*H79</f>
        <v>565656.784336037</v>
      </c>
      <c r="L79" s="35" t="n">
        <f aca="false">L78+C79</f>
        <v>423000</v>
      </c>
    </row>
    <row r="80" customFormat="false" ht="15" hidden="false" customHeight="false" outlineLevel="0" collapsed="false">
      <c r="A80" s="33" t="n">
        <v>76</v>
      </c>
      <c r="B80" s="34" t="n">
        <f aca="false">EDATE(B79,1)</f>
        <v>47939</v>
      </c>
      <c r="C80" s="35" t="n">
        <f aca="false">Assumptions!$C$6+(YEAR(B80)-YEAR(Assumptions!$C$4))*Assumptions!$C$7</f>
        <v>9000</v>
      </c>
      <c r="D80" s="36" t="n">
        <f aca="false">Assumptions!$D$19*(1+Assumptions!$F$19)^((B80-Assumptions!$C$4)/365)</f>
        <v>152.279062385017</v>
      </c>
      <c r="E80" s="37" t="n">
        <f aca="false">C80/D80</f>
        <v>59.1020187479532</v>
      </c>
      <c r="F80" s="37" t="n">
        <f aca="false">F79+E80</f>
        <v>3859.67119144927</v>
      </c>
      <c r="G80" s="35" t="n">
        <f aca="false">F80*D80</f>
        <v>587747.110148356</v>
      </c>
      <c r="H80" s="36" t="n">
        <f aca="false">Assumptions!$D$20*(1+Assumptions!$F$20)^((B80-Assumptions!$C$4)/365)</f>
        <v>138.053274949387</v>
      </c>
      <c r="I80" s="37" t="n">
        <f aca="false">C80/H80</f>
        <v>65.1922238230101</v>
      </c>
      <c r="J80" s="37" t="n">
        <f aca="false">J79+I80</f>
        <v>4200.56624984686</v>
      </c>
      <c r="K80" s="35" t="n">
        <f aca="false">J80*H80</f>
        <v>579901.927433224</v>
      </c>
      <c r="L80" s="35" t="n">
        <f aca="false">L79+C80</f>
        <v>432000</v>
      </c>
    </row>
    <row r="81" customFormat="false" ht="15" hidden="false" customHeight="false" outlineLevel="0" collapsed="false">
      <c r="A81" s="33" t="n">
        <v>77</v>
      </c>
      <c r="B81" s="34" t="n">
        <f aca="false">EDATE(B80,1)</f>
        <v>47969</v>
      </c>
      <c r="C81" s="35" t="n">
        <f aca="false">Assumptions!$C$6+(YEAR(B81)-YEAR(Assumptions!$C$4))*Assumptions!$C$7</f>
        <v>9000</v>
      </c>
      <c r="D81" s="36" t="n">
        <f aca="false">Assumptions!$D$19*(1+Assumptions!$F$19)^((B81-Assumptions!$C$4)/365)</f>
        <v>153.704120788655</v>
      </c>
      <c r="E81" s="37" t="n">
        <f aca="false">C81/D81</f>
        <v>58.5540579772428</v>
      </c>
      <c r="F81" s="37" t="n">
        <f aca="false">F80+E81</f>
        <v>3918.22524942651</v>
      </c>
      <c r="G81" s="35" t="n">
        <f aca="false">F81*D81</f>
        <v>602247.367015009</v>
      </c>
      <c r="H81" s="36" t="n">
        <f aca="false">Assumptions!$D$20*(1+Assumptions!$F$20)^((B81-Assumptions!$C$4)/365)</f>
        <v>139.29191712612</v>
      </c>
      <c r="I81" s="37" t="n">
        <f aca="false">C81/H81</f>
        <v>64.6125072128275</v>
      </c>
      <c r="J81" s="37" t="n">
        <f aca="false">J80+I81</f>
        <v>4265.17875705969</v>
      </c>
      <c r="K81" s="35" t="n">
        <f aca="false">J81*H81</f>
        <v>594104.925956446</v>
      </c>
      <c r="L81" s="35" t="n">
        <f aca="false">L80+C81</f>
        <v>441000</v>
      </c>
    </row>
    <row r="82" customFormat="false" ht="15" hidden="false" customHeight="false" outlineLevel="0" collapsed="false">
      <c r="A82" s="33" t="n">
        <v>78</v>
      </c>
      <c r="B82" s="34" t="n">
        <f aca="false">EDATE(B81,1)</f>
        <v>48000</v>
      </c>
      <c r="C82" s="35" t="n">
        <f aca="false">Assumptions!$C$6+(YEAR(B82)-YEAR(Assumptions!$C$4))*Assumptions!$C$7</f>
        <v>9000</v>
      </c>
      <c r="D82" s="36" t="n">
        <f aca="false">Assumptions!$D$19*(1+Assumptions!$F$19)^((B82-Assumptions!$C$4)/365)</f>
        <v>155.190692786826</v>
      </c>
      <c r="E82" s="37" t="n">
        <f aca="false">C82/D82</f>
        <v>57.9931685230803</v>
      </c>
      <c r="F82" s="37" t="n">
        <f aca="false">F81+E82</f>
        <v>3976.21841794959</v>
      </c>
      <c r="G82" s="35" t="n">
        <f aca="false">F82*D82</f>
        <v>617072.090953336</v>
      </c>
      <c r="H82" s="36" t="n">
        <f aca="false">Assumptions!$D$20*(1+Assumptions!$F$20)^((B82-Assumptions!$C$4)/365)</f>
        <v>140.583523728993</v>
      </c>
      <c r="I82" s="37" t="n">
        <f aca="false">C82/H82</f>
        <v>64.0188818808496</v>
      </c>
      <c r="J82" s="37" t="n">
        <f aca="false">J81+I82</f>
        <v>4329.19763894053</v>
      </c>
      <c r="K82" s="35" t="n">
        <f aca="false">J82*H82</f>
        <v>608613.859001495</v>
      </c>
      <c r="L82" s="35" t="n">
        <f aca="false">L81+C82</f>
        <v>450000</v>
      </c>
    </row>
    <row r="83" customFormat="false" ht="15" hidden="false" customHeight="false" outlineLevel="0" collapsed="false">
      <c r="A83" s="38" t="n">
        <v>79</v>
      </c>
      <c r="B83" s="39" t="n">
        <f aca="false">EDATE(B82,1)</f>
        <v>48030</v>
      </c>
      <c r="C83" s="40" t="n">
        <f aca="false">Assumptions!$C$6+(YEAR(B83)-YEAR(Assumptions!$C$4))*Assumptions!$C$7</f>
        <v>9000</v>
      </c>
      <c r="D83" s="41" t="n">
        <f aca="false">Assumptions!$D$19*(1+Assumptions!$F$19)^((B83-Assumptions!$C$4)/365)</f>
        <v>156.642998819307</v>
      </c>
      <c r="E83" s="42" t="n">
        <f aca="false">C83/D83</f>
        <v>57.4554883897609</v>
      </c>
      <c r="F83" s="42" t="n">
        <f aca="false">F82+E83</f>
        <v>4033.67390633935</v>
      </c>
      <c r="G83" s="40" t="n">
        <f aca="false">F83*D83</f>
        <v>631846.776948183</v>
      </c>
      <c r="H83" s="41" t="n">
        <f aca="false">Assumptions!$D$20*(1+Assumptions!$F$20)^((B83-Assumptions!$C$4)/365)</f>
        <v>141.844867814516</v>
      </c>
      <c r="I83" s="42" t="n">
        <f aca="false">C83/H83</f>
        <v>63.4495991195742</v>
      </c>
      <c r="J83" s="42" t="n">
        <f aca="false">J82+I83</f>
        <v>4392.64723806011</v>
      </c>
      <c r="K83" s="40" t="n">
        <f aca="false">J83*H83</f>
        <v>623074.466838433</v>
      </c>
      <c r="L83" s="40" t="n">
        <f aca="false">L82+C83</f>
        <v>459000</v>
      </c>
    </row>
    <row r="84" customFormat="false" ht="15" hidden="false" customHeight="false" outlineLevel="0" collapsed="false">
      <c r="A84" s="38" t="n">
        <v>80</v>
      </c>
      <c r="B84" s="39" t="n">
        <f aca="false">EDATE(B83,1)</f>
        <v>48061</v>
      </c>
      <c r="C84" s="40" t="n">
        <f aca="false">Assumptions!$C$6+(YEAR(B84)-YEAR(Assumptions!$C$4))*Assumptions!$C$7</f>
        <v>9000</v>
      </c>
      <c r="D84" s="41" t="n">
        <f aca="false">Assumptions!$D$19*(1+Assumptions!$F$19)^((B84-Assumptions!$C$4)/365)</f>
        <v>158.157994608357</v>
      </c>
      <c r="E84" s="42" t="n">
        <f aca="false">C84/D84</f>
        <v>56.9051221361685</v>
      </c>
      <c r="F84" s="42" t="n">
        <f aca="false">F83+E84</f>
        <v>4090.57902847552</v>
      </c>
      <c r="G84" s="40" t="n">
        <f aca="false">F84*D84</f>
        <v>646957.775930688</v>
      </c>
      <c r="H84" s="41" t="n">
        <f aca="false">Assumptions!$D$20*(1+Assumptions!$F$20)^((B84-Assumptions!$C$4)/365)</f>
        <v>143.160147061386</v>
      </c>
      <c r="I84" s="42" t="n">
        <f aca="false">C84/H84</f>
        <v>62.8666579683022</v>
      </c>
      <c r="J84" s="42" t="n">
        <f aca="false">J83+I84</f>
        <v>4455.51389602841</v>
      </c>
      <c r="K84" s="40" t="n">
        <f aca="false">J84*H84</f>
        <v>637852.024589477</v>
      </c>
      <c r="L84" s="40" t="n">
        <f aca="false">L83+C84</f>
        <v>468000</v>
      </c>
    </row>
    <row r="85" customFormat="false" ht="15" hidden="false" customHeight="false" outlineLevel="0" collapsed="false">
      <c r="A85" s="38" t="n">
        <v>81</v>
      </c>
      <c r="B85" s="39" t="n">
        <f aca="false">EDATE(B84,1)</f>
        <v>48092</v>
      </c>
      <c r="C85" s="40" t="n">
        <f aca="false">Assumptions!$C$6+(YEAR(B85)-YEAR(Assumptions!$C$4))*Assumptions!$C$7</f>
        <v>9000</v>
      </c>
      <c r="D85" s="41" t="n">
        <f aca="false">Assumptions!$D$19*(1+Assumptions!$F$19)^((B85-Assumptions!$C$4)/365)</f>
        <v>159.687642901879</v>
      </c>
      <c r="E85" s="42" t="n">
        <f aca="false">C85/D85</f>
        <v>56.3600278421674</v>
      </c>
      <c r="F85" s="42" t="n">
        <f aca="false">F84+E85</f>
        <v>4146.93905631769</v>
      </c>
      <c r="G85" s="40" t="n">
        <f aca="false">F85*D85</f>
        <v>662214.923161115</v>
      </c>
      <c r="H85" s="41" t="n">
        <f aca="false">Assumptions!$D$20*(1+Assumptions!$F$20)^((B85-Assumptions!$C$4)/365)</f>
        <v>144.487622445656</v>
      </c>
      <c r="I85" s="42" t="n">
        <f aca="false">C85/H85</f>
        <v>62.2890725701091</v>
      </c>
      <c r="J85" s="42" t="n">
        <f aca="false">J84+I85</f>
        <v>4517.80296859852</v>
      </c>
      <c r="K85" s="40" t="n">
        <f aca="false">J85*H85</f>
        <v>652766.609610727</v>
      </c>
      <c r="L85" s="40" t="n">
        <f aca="false">L84+C85</f>
        <v>477000</v>
      </c>
    </row>
    <row r="86" customFormat="false" ht="15" hidden="false" customHeight="false" outlineLevel="0" collapsed="false">
      <c r="A86" s="38" t="n">
        <v>82</v>
      </c>
      <c r="B86" s="39" t="n">
        <f aca="false">EDATE(B85,1)</f>
        <v>48122</v>
      </c>
      <c r="C86" s="40" t="n">
        <f aca="false">Assumptions!$C$6+(YEAR(B86)-YEAR(Assumptions!$C$4))*Assumptions!$C$7</f>
        <v>9000</v>
      </c>
      <c r="D86" s="41" t="n">
        <f aca="false">Assumptions!$D$19*(1+Assumptions!$F$19)^((B86-Assumptions!$C$4)/365)</f>
        <v>161.182032307161</v>
      </c>
      <c r="E86" s="42" t="n">
        <f aca="false">C86/D86</f>
        <v>55.8374892733013</v>
      </c>
      <c r="F86" s="42" t="n">
        <f aca="false">F85+E86</f>
        <v>4202.77654559099</v>
      </c>
      <c r="G86" s="40" t="n">
        <f aca="false">F86*D86</f>
        <v>677412.064951225</v>
      </c>
      <c r="H86" s="41" t="n">
        <f aca="false">Assumptions!$D$20*(1+Assumptions!$F$20)^((B86-Assumptions!$C$4)/365)</f>
        <v>145.783994902178</v>
      </c>
      <c r="I86" s="42" t="n">
        <f aca="false">C86/H86</f>
        <v>61.735171999087</v>
      </c>
      <c r="J86" s="42" t="n">
        <f aca="false">J85+I86</f>
        <v>4579.53814059761</v>
      </c>
      <c r="K86" s="40" t="n">
        <f aca="false">J86*H86</f>
        <v>667623.364943212</v>
      </c>
      <c r="L86" s="40" t="n">
        <f aca="false">L85+C86</f>
        <v>486000</v>
      </c>
    </row>
    <row r="87" customFormat="false" ht="15" hidden="false" customHeight="false" outlineLevel="0" collapsed="false">
      <c r="A87" s="38" t="n">
        <v>83</v>
      </c>
      <c r="B87" s="39" t="n">
        <f aca="false">EDATE(B86,1)</f>
        <v>48153</v>
      </c>
      <c r="C87" s="40" t="n">
        <f aca="false">Assumptions!$C$6+(YEAR(B87)-YEAR(Assumptions!$C$4))*Assumptions!$C$7</f>
        <v>9000</v>
      </c>
      <c r="D87" s="41" t="n">
        <f aca="false">Assumptions!$D$19*(1+Assumptions!$F$19)^((B87-Assumptions!$C$4)/365)</f>
        <v>162.740928025811</v>
      </c>
      <c r="E87" s="42" t="n">
        <f aca="false">C87/D87</f>
        <v>55.302621836915</v>
      </c>
      <c r="F87" s="42" t="n">
        <f aca="false">F86+E87</f>
        <v>4258.0791674279</v>
      </c>
      <c r="G87" s="40" t="n">
        <f aca="false">F87*D87</f>
        <v>692963.755314588</v>
      </c>
      <c r="H87" s="41" t="n">
        <f aca="false">Assumptions!$D$20*(1+Assumptions!$F$20)^((B87-Assumptions!$C$4)/365)</f>
        <v>147.135800335643</v>
      </c>
      <c r="I87" s="42" t="n">
        <f aca="false">C87/H87</f>
        <v>61.1679820918458</v>
      </c>
      <c r="J87" s="42" t="n">
        <f aca="false">J86+I87</f>
        <v>4640.70612268945</v>
      </c>
      <c r="K87" s="40" t="n">
        <f aca="false">J87*H87</f>
        <v>682814.009484431</v>
      </c>
      <c r="L87" s="40" t="n">
        <f aca="false">L86+C87</f>
        <v>495000</v>
      </c>
    </row>
    <row r="88" customFormat="false" ht="15" hidden="false" customHeight="false" outlineLevel="0" collapsed="false">
      <c r="A88" s="38" t="n">
        <v>84</v>
      </c>
      <c r="B88" s="39" t="n">
        <f aca="false">EDATE(B87,1)</f>
        <v>48183</v>
      </c>
      <c r="C88" s="40" t="n">
        <f aca="false">Assumptions!$C$6+(YEAR(B88)-YEAR(Assumptions!$C$4))*Assumptions!$C$7</f>
        <v>9000</v>
      </c>
      <c r="D88" s="41" t="n">
        <f aca="false">Assumptions!$D$19*(1+Assumptions!$F$19)^((B88-Assumptions!$C$4)/365)</f>
        <v>164.263890693604</v>
      </c>
      <c r="E88" s="42" t="n">
        <f aca="false">C88/D88</f>
        <v>54.7898869434878</v>
      </c>
      <c r="F88" s="42" t="n">
        <f aca="false">F87+E88</f>
        <v>4312.86905437139</v>
      </c>
      <c r="G88" s="40" t="n">
        <f aca="false">F88*D88</f>
        <v>708448.65092309</v>
      </c>
      <c r="H88" s="41" t="n">
        <f aca="false">Assumptions!$D$20*(1+Assumptions!$F$20)^((B88-Assumptions!$C$4)/365)</f>
        <v>148.455932785017</v>
      </c>
      <c r="I88" s="42" t="n">
        <f aca="false">C88/H88</f>
        <v>60.6240507277882</v>
      </c>
      <c r="J88" s="42" t="n">
        <f aca="false">J87+I88</f>
        <v>4701.33017341724</v>
      </c>
      <c r="K88" s="40" t="n">
        <f aca="false">J88*H88</f>
        <v>697940.356225004</v>
      </c>
      <c r="L88" s="40" t="n">
        <f aca="false">L87+C88</f>
        <v>504000</v>
      </c>
    </row>
    <row r="89" customFormat="false" ht="15" hidden="false" customHeight="false" outlineLevel="0" collapsed="false">
      <c r="A89" s="33" t="n">
        <v>85</v>
      </c>
      <c r="B89" s="34" t="n">
        <f aca="false">EDATE(B88,1)</f>
        <v>48214</v>
      </c>
      <c r="C89" s="35" t="n">
        <f aca="false">Assumptions!$C$6+(YEAR(B89)-YEAR(Assumptions!$C$4))*Assumptions!$C$7</f>
        <v>10000</v>
      </c>
      <c r="D89" s="36" t="n">
        <f aca="false">Assumptions!$D$19*(1+Assumptions!$F$19)^((B89-Assumptions!$C$4)/365)</f>
        <v>165.852593058661</v>
      </c>
      <c r="E89" s="37" t="n">
        <f aca="false">C89/D89</f>
        <v>60.2945049913274</v>
      </c>
      <c r="F89" s="37" t="n">
        <f aca="false">F88+E89</f>
        <v>4373.16355936272</v>
      </c>
      <c r="G89" s="35" t="n">
        <f aca="false">F89*D89</f>
        <v>725300.516189948</v>
      </c>
      <c r="H89" s="36" t="n">
        <f aca="false">Assumptions!$D$20*(1+Assumptions!$F$20)^((B89-Assumptions!$C$4)/365)</f>
        <v>149.832514190291</v>
      </c>
      <c r="I89" s="37" t="n">
        <f aca="false">C89/H89</f>
        <v>66.7411880127685</v>
      </c>
      <c r="J89" s="37" t="n">
        <f aca="false">J88+I89</f>
        <v>4768.07136143001</v>
      </c>
      <c r="K89" s="35" t="n">
        <f aca="false">J89*H89</f>
        <v>714412.119921782</v>
      </c>
      <c r="L89" s="35" t="n">
        <f aca="false">L88+C89</f>
        <v>514000</v>
      </c>
    </row>
    <row r="90" customFormat="false" ht="15" hidden="false" customHeight="false" outlineLevel="0" collapsed="false">
      <c r="A90" s="33" t="n">
        <v>86</v>
      </c>
      <c r="B90" s="34" t="n">
        <f aca="false">EDATE(B89,1)</f>
        <v>48245</v>
      </c>
      <c r="C90" s="35" t="n">
        <f aca="false">Assumptions!$C$6+(YEAR(B90)-YEAR(Assumptions!$C$4))*Assumptions!$C$7</f>
        <v>10000</v>
      </c>
      <c r="D90" s="36" t="n">
        <f aca="false">Assumptions!$D$19*(1+Assumptions!$F$19)^((B90-Assumptions!$C$4)/365)</f>
        <v>167.456660792174</v>
      </c>
      <c r="E90" s="37" t="n">
        <f aca="false">C90/D90</f>
        <v>59.7169437912698</v>
      </c>
      <c r="F90" s="37" t="n">
        <f aca="false">F89+E90</f>
        <v>4432.88050315399</v>
      </c>
      <c r="G90" s="35" t="n">
        <f aca="false">F90*D90</f>
        <v>742315.3667489</v>
      </c>
      <c r="H90" s="36" t="n">
        <f aca="false">Assumptions!$D$20*(1+Assumptions!$F$20)^((B90-Assumptions!$C$4)/365)</f>
        <v>151.221860167042</v>
      </c>
      <c r="I90" s="37" t="n">
        <f aca="false">C90/H90</f>
        <v>66.1280054944029</v>
      </c>
      <c r="J90" s="37" t="n">
        <f aca="false">J89+I90</f>
        <v>4834.19936692441</v>
      </c>
      <c r="K90" s="35" t="n">
        <f aca="false">J90*H90</f>
        <v>731036.620684648</v>
      </c>
      <c r="L90" s="35" t="n">
        <f aca="false">L89+C90</f>
        <v>524000</v>
      </c>
    </row>
    <row r="91" customFormat="false" ht="15" hidden="false" customHeight="false" outlineLevel="0" collapsed="false">
      <c r="A91" s="33" t="n">
        <v>87</v>
      </c>
      <c r="B91" s="34" t="n">
        <f aca="false">EDATE(B90,1)</f>
        <v>48274</v>
      </c>
      <c r="C91" s="35" t="n">
        <f aca="false">Assumptions!$C$6+(YEAR(B91)-YEAR(Assumptions!$C$4))*Assumptions!$C$7</f>
        <v>10000</v>
      </c>
      <c r="D91" s="36" t="n">
        <f aca="false">Assumptions!$D$19*(1+Assumptions!$F$19)^((B91-Assumptions!$C$4)/365)</f>
        <v>168.971282282499</v>
      </c>
      <c r="E91" s="37" t="n">
        <f aca="false">C91/D91</f>
        <v>59.1816542131772</v>
      </c>
      <c r="F91" s="37" t="n">
        <f aca="false">F90+E91</f>
        <v>4492.06215736717</v>
      </c>
      <c r="G91" s="35" t="n">
        <f aca="false">F91*D91</f>
        <v>759029.502823018</v>
      </c>
      <c r="H91" s="36" t="n">
        <f aca="false">Assumptions!$D$20*(1+Assumptions!$F$20)^((B91-Assumptions!$C$4)/365)</f>
        <v>152.533231608533</v>
      </c>
      <c r="I91" s="37" t="n">
        <f aca="false">C91/H91</f>
        <v>65.5594842811982</v>
      </c>
      <c r="J91" s="37" t="n">
        <f aca="false">J90+I91</f>
        <v>4899.75885120561</v>
      </c>
      <c r="K91" s="35" t="n">
        <f aca="false">J91*H91</f>
        <v>747376.051676906</v>
      </c>
      <c r="L91" s="35" t="n">
        <f aca="false">L90+C91</f>
        <v>534000</v>
      </c>
    </row>
    <row r="92" customFormat="false" ht="15" hidden="false" customHeight="false" outlineLevel="0" collapsed="false">
      <c r="A92" s="33" t="n">
        <v>88</v>
      </c>
      <c r="B92" s="34" t="n">
        <f aca="false">EDATE(B91,1)</f>
        <v>48305</v>
      </c>
      <c r="C92" s="35" t="n">
        <f aca="false">Assumptions!$C$6+(YEAR(B92)-YEAR(Assumptions!$C$4))*Assumptions!$C$7</f>
        <v>10000</v>
      </c>
      <c r="D92" s="36" t="n">
        <f aca="false">Assumptions!$D$19*(1+Assumptions!$F$19)^((B92-Assumptions!$C$4)/365)</f>
        <v>170.605512877277</v>
      </c>
      <c r="E92" s="37" t="n">
        <f aca="false">C92/D92</f>
        <v>58.6147530132474</v>
      </c>
      <c r="F92" s="37" t="n">
        <f aca="false">F91+E92</f>
        <v>4550.67691038041</v>
      </c>
      <c r="G92" s="35" t="n">
        <f aca="false">F92*D92</f>
        <v>776370.568234234</v>
      </c>
      <c r="H92" s="36" t="n">
        <f aca="false">Assumptions!$D$20*(1+Assumptions!$F$20)^((B92-Assumptions!$C$4)/365)</f>
        <v>153.947620419943</v>
      </c>
      <c r="I92" s="37" t="n">
        <f aca="false">C92/H92</f>
        <v>64.957158627861</v>
      </c>
      <c r="J92" s="37" t="n">
        <f aca="false">J91+I92</f>
        <v>4964.71600983347</v>
      </c>
      <c r="K92" s="35" t="n">
        <f aca="false">J92*H92</f>
        <v>764306.215774659</v>
      </c>
      <c r="L92" s="35" t="n">
        <f aca="false">L91+C92</f>
        <v>544000</v>
      </c>
    </row>
    <row r="93" customFormat="false" ht="15" hidden="false" customHeight="false" outlineLevel="0" collapsed="false">
      <c r="A93" s="33" t="n">
        <v>89</v>
      </c>
      <c r="B93" s="34" t="n">
        <f aca="false">EDATE(B92,1)</f>
        <v>48335</v>
      </c>
      <c r="C93" s="35" t="n">
        <f aca="false">Assumptions!$C$6+(YEAR(B93)-YEAR(Assumptions!$C$4))*Assumptions!$C$7</f>
        <v>10000</v>
      </c>
      <c r="D93" s="36" t="n">
        <f aca="false">Assumptions!$D$19*(1+Assumptions!$F$19)^((B93-Assumptions!$C$4)/365)</f>
        <v>172.202073927922</v>
      </c>
      <c r="E93" s="37" t="n">
        <f aca="false">C93/D93</f>
        <v>58.0713098971482</v>
      </c>
      <c r="F93" s="37" t="n">
        <f aca="false">F92+E93</f>
        <v>4608.74822027756</v>
      </c>
      <c r="G93" s="35" t="n">
        <f aca="false">F93*D93</f>
        <v>793636.001743418</v>
      </c>
      <c r="H93" s="36" t="n">
        <f aca="false">Assumptions!$D$20*(1+Assumptions!$F$20)^((B93-Assumptions!$C$4)/365)</f>
        <v>155.328869910256</v>
      </c>
      <c r="I93" s="37" t="n">
        <f aca="false">C93/H93</f>
        <v>64.3795323160316</v>
      </c>
      <c r="J93" s="37" t="n">
        <f aca="false">J92+I93</f>
        <v>5029.0955421495</v>
      </c>
      <c r="K93" s="35" t="n">
        <f aca="false">J93*H93</f>
        <v>781163.727232789</v>
      </c>
      <c r="L93" s="35" t="n">
        <f aca="false">L92+C93</f>
        <v>554000</v>
      </c>
    </row>
    <row r="94" customFormat="false" ht="15" hidden="false" customHeight="false" outlineLevel="0" collapsed="false">
      <c r="A94" s="33" t="n">
        <v>90</v>
      </c>
      <c r="B94" s="34" t="n">
        <f aca="false">EDATE(B93,1)</f>
        <v>48366</v>
      </c>
      <c r="C94" s="35" t="n">
        <f aca="false">Assumptions!$C$6+(YEAR(B94)-YEAR(Assumptions!$C$4))*Assumptions!$C$7</f>
        <v>10000</v>
      </c>
      <c r="D94" s="36" t="n">
        <f aca="false">Assumptions!$D$19*(1+Assumptions!$F$19)^((B94-Assumptions!$C$4)/365)</f>
        <v>173.867551599014</v>
      </c>
      <c r="E94" s="37" t="n">
        <f aca="false">C94/D94</f>
        <v>57.5150446879398</v>
      </c>
      <c r="F94" s="37" t="n">
        <f aca="false">F93+E94</f>
        <v>4666.2632649655</v>
      </c>
      <c r="G94" s="35" t="n">
        <f aca="false">F94*D94</f>
        <v>811311.768995975</v>
      </c>
      <c r="H94" s="36" t="n">
        <f aca="false">Assumptions!$D$20*(1+Assumptions!$F$20)^((B94-Assumptions!$C$4)/365)</f>
        <v>156.769181725414</v>
      </c>
      <c r="I94" s="37" t="n">
        <f aca="false">C94/H94</f>
        <v>63.7880474334253</v>
      </c>
      <c r="J94" s="37" t="n">
        <f aca="false">J93+I94</f>
        <v>5092.88358958293</v>
      </c>
      <c r="K94" s="35" t="n">
        <f aca="false">J94*H94</f>
        <v>798407.192961707</v>
      </c>
      <c r="L94" s="35" t="n">
        <f aca="false">L93+C94</f>
        <v>564000</v>
      </c>
    </row>
    <row r="95" customFormat="false" ht="15" hidden="false" customHeight="false" outlineLevel="0" collapsed="false">
      <c r="A95" s="38" t="n">
        <v>91</v>
      </c>
      <c r="B95" s="39" t="n">
        <f aca="false">EDATE(B94,1)</f>
        <v>48396</v>
      </c>
      <c r="C95" s="40" t="n">
        <f aca="false">Assumptions!$C$6+(YEAR(B95)-YEAR(Assumptions!$C$4))*Assumptions!$C$7</f>
        <v>10000</v>
      </c>
      <c r="D95" s="41" t="n">
        <f aca="false">Assumptions!$D$19*(1+Assumptions!$F$19)^((B95-Assumptions!$C$4)/365)</f>
        <v>175.494639470751</v>
      </c>
      <c r="E95" s="42" t="n">
        <f aca="false">C95/D95</f>
        <v>56.9817974506661</v>
      </c>
      <c r="F95" s="42" t="n">
        <f aca="false">F94+E95</f>
        <v>4723.24506241617</v>
      </c>
      <c r="G95" s="40" t="n">
        <f aca="false">F95*D95</f>
        <v>828904.18936073</v>
      </c>
      <c r="H95" s="41" t="n">
        <f aca="false">Assumptions!$D$20*(1+Assumptions!$F$20)^((B95-Assumptions!$C$4)/365)</f>
        <v>158.175746839992</v>
      </c>
      <c r="I95" s="42" t="n">
        <f aca="false">C95/H95</f>
        <v>63.220817348919</v>
      </c>
      <c r="J95" s="42" t="n">
        <f aca="false">J94+I95</f>
        <v>5156.10440693185</v>
      </c>
      <c r="K95" s="40" t="n">
        <f aca="false">J95*H95</f>
        <v>815570.66535142</v>
      </c>
      <c r="L95" s="40" t="n">
        <f aca="false">L94+C95</f>
        <v>574000</v>
      </c>
    </row>
    <row r="96" customFormat="false" ht="15" hidden="false" customHeight="false" outlineLevel="0" collapsed="false">
      <c r="A96" s="38" t="n">
        <v>92</v>
      </c>
      <c r="B96" s="39" t="n">
        <f aca="false">EDATE(B95,1)</f>
        <v>48427</v>
      </c>
      <c r="C96" s="40" t="n">
        <f aca="false">Assumptions!$C$6+(YEAR(B96)-YEAR(Assumptions!$C$4))*Assumptions!$C$7</f>
        <v>10000</v>
      </c>
      <c r="D96" s="41" t="n">
        <f aca="false">Assumptions!$D$19*(1+Assumptions!$F$19)^((B96-Assumptions!$C$4)/365)</f>
        <v>177.191961673486</v>
      </c>
      <c r="E96" s="42" t="n">
        <f aca="false">C96/D96</f>
        <v>56.4359686836535</v>
      </c>
      <c r="F96" s="42" t="n">
        <f aca="false">F95+E96</f>
        <v>4779.68103109982</v>
      </c>
      <c r="G96" s="40" t="n">
        <f aca="false">F96*D96</f>
        <v>846921.058074128</v>
      </c>
      <c r="H96" s="41" t="n">
        <f aca="false">Assumptions!$D$20*(1+Assumptions!$F$20)^((B96-Assumptions!$C$4)/365)</f>
        <v>159.642456777281</v>
      </c>
      <c r="I96" s="42" t="n">
        <f aca="false">C96/H96</f>
        <v>62.6399781228069</v>
      </c>
      <c r="J96" s="42" t="n">
        <f aca="false">J95+I96</f>
        <v>5218.74438505465</v>
      </c>
      <c r="K96" s="40" t="n">
        <f aca="false">J96*H96</f>
        <v>833133.174922763</v>
      </c>
      <c r="L96" s="40" t="n">
        <f aca="false">L95+C96</f>
        <v>584000</v>
      </c>
    </row>
    <row r="97" customFormat="false" ht="15" hidden="false" customHeight="false" outlineLevel="0" collapsed="false">
      <c r="A97" s="38" t="n">
        <v>93</v>
      </c>
      <c r="B97" s="39" t="n">
        <f aca="false">EDATE(B96,1)</f>
        <v>48458</v>
      </c>
      <c r="C97" s="40" t="n">
        <f aca="false">Assumptions!$C$6+(YEAR(B97)-YEAR(Assumptions!$C$4))*Assumptions!$C$7</f>
        <v>10000</v>
      </c>
      <c r="D97" s="41" t="n">
        <f aca="false">Assumptions!$D$19*(1+Assumptions!$F$19)^((B97-Assumptions!$C$4)/365)</f>
        <v>178.905699777405</v>
      </c>
      <c r="E97" s="42" t="n">
        <f aca="false">C97/D97</f>
        <v>55.8953684116382</v>
      </c>
      <c r="F97" s="42" t="n">
        <f aca="false">F96+E97</f>
        <v>4835.57639951146</v>
      </c>
      <c r="G97" s="40" t="n">
        <f aca="false">F97*D97</f>
        <v>865112.179581704</v>
      </c>
      <c r="H97" s="41" t="n">
        <f aca="false">Assumptions!$D$20*(1+Assumptions!$F$20)^((B97-Assumptions!$C$4)/365)</f>
        <v>161.12276701729</v>
      </c>
      <c r="I97" s="42" t="n">
        <f aca="false">C97/H97</f>
        <v>62.064475338404</v>
      </c>
      <c r="J97" s="42" t="n">
        <f aca="false">J96+I97</f>
        <v>5280.80886039306</v>
      </c>
      <c r="K97" s="40" t="n">
        <f aca="false">J97*H97</f>
        <v>850858.535675951</v>
      </c>
      <c r="L97" s="40" t="n">
        <f aca="false">L96+C97</f>
        <v>594000</v>
      </c>
    </row>
    <row r="98" customFormat="false" ht="15" hidden="false" customHeight="false" outlineLevel="0" collapsed="false">
      <c r="A98" s="38" t="n">
        <v>94</v>
      </c>
      <c r="B98" s="39" t="n">
        <f aca="false">EDATE(B97,1)</f>
        <v>48488</v>
      </c>
      <c r="C98" s="40" t="n">
        <f aca="false">Assumptions!$C$6+(YEAR(B98)-YEAR(Assumptions!$C$4))*Assumptions!$C$7</f>
        <v>10000</v>
      </c>
      <c r="D98" s="41" t="n">
        <f aca="false">Assumptions!$D$19*(1+Assumptions!$F$19)^((B98-Assumptions!$C$4)/365)</f>
        <v>180.579935663373</v>
      </c>
      <c r="E98" s="42" t="n">
        <f aca="false">C98/D98</f>
        <v>55.3771379044096</v>
      </c>
      <c r="F98" s="42" t="n">
        <f aca="false">F97+E98</f>
        <v>4890.95353741587</v>
      </c>
      <c r="G98" s="40" t="n">
        <f aca="false">F98*D98</f>
        <v>883208.075119103</v>
      </c>
      <c r="H98" s="41" t="n">
        <f aca="false">Assumptions!$D$20*(1+Assumptions!$F$20)^((B98-Assumptions!$C$4)/365)</f>
        <v>162.568393388216</v>
      </c>
      <c r="I98" s="42" t="n">
        <f aca="false">C98/H98</f>
        <v>61.5125719802116</v>
      </c>
      <c r="J98" s="42" t="n">
        <f aca="false">J97+I98</f>
        <v>5342.32143237327</v>
      </c>
      <c r="K98" s="40" t="n">
        <f aca="false">J98*H98</f>
        <v>868492.612224355</v>
      </c>
      <c r="L98" s="40" t="n">
        <f aca="false">L97+C98</f>
        <v>604000</v>
      </c>
    </row>
    <row r="99" customFormat="false" ht="15" hidden="false" customHeight="false" outlineLevel="0" collapsed="false">
      <c r="A99" s="38" t="n">
        <v>95</v>
      </c>
      <c r="B99" s="39" t="n">
        <f aca="false">EDATE(B98,1)</f>
        <v>48519</v>
      </c>
      <c r="C99" s="40" t="n">
        <f aca="false">Assumptions!$C$6+(YEAR(B99)-YEAR(Assumptions!$C$4))*Assumptions!$C$7</f>
        <v>10000</v>
      </c>
      <c r="D99" s="41" t="n">
        <f aca="false">Assumptions!$D$19*(1+Assumptions!$F$19)^((B99-Assumptions!$C$4)/365)</f>
        <v>182.326441055755</v>
      </c>
      <c r="E99" s="42" t="n">
        <f aca="false">C99/D99</f>
        <v>54.8466801748299</v>
      </c>
      <c r="F99" s="42" t="n">
        <f aca="false">F98+E99</f>
        <v>4945.8002175907</v>
      </c>
      <c r="G99" s="40" t="n">
        <f aca="false">F99*D99</f>
        <v>901750.151846093</v>
      </c>
      <c r="H99" s="41" t="n">
        <f aca="false">Assumptions!$D$20*(1+Assumptions!$F$20)^((B99-Assumptions!$C$4)/365)</f>
        <v>164.075834843907</v>
      </c>
      <c r="I99" s="42" t="n">
        <f aca="false">C99/H99</f>
        <v>60.9474272034847</v>
      </c>
      <c r="J99" s="42" t="n">
        <f aca="false">J98+I99</f>
        <v>5403.26885957676</v>
      </c>
      <c r="K99" s="40" t="n">
        <f aca="false">J99*H99</f>
        <v>886545.849021142</v>
      </c>
      <c r="L99" s="40" t="n">
        <f aca="false">L98+C99</f>
        <v>614000</v>
      </c>
    </row>
    <row r="100" customFormat="false" ht="15" hidden="false" customHeight="false" outlineLevel="0" collapsed="false">
      <c r="A100" s="38" t="n">
        <v>96</v>
      </c>
      <c r="B100" s="39" t="n">
        <f aca="false">EDATE(B99,1)</f>
        <v>48549</v>
      </c>
      <c r="C100" s="40" t="n">
        <f aca="false">Assumptions!$C$6+(YEAR(B100)-YEAR(Assumptions!$C$4))*Assumptions!$C$7</f>
        <v>10000</v>
      </c>
      <c r="D100" s="41" t="n">
        <f aca="false">Assumptions!$D$19*(1+Assumptions!$F$19)^((B100-Assumptions!$C$4)/365)</f>
        <v>184.032688933582</v>
      </c>
      <c r="E100" s="42" t="n">
        <f aca="false">C100/D100</f>
        <v>54.3381725167806</v>
      </c>
      <c r="F100" s="42" t="n">
        <f aca="false">F99+E100</f>
        <v>5000.13839010748</v>
      </c>
      <c r="G100" s="40" t="n">
        <f aca="false">F100*D100</f>
        <v>920188.912971511</v>
      </c>
      <c r="H100" s="41" t="n">
        <f aca="false">Assumptions!$D$20*(1+Assumptions!$F$20)^((B100-Assumptions!$C$4)/365)</f>
        <v>165.547956742463</v>
      </c>
      <c r="I100" s="42" t="n">
        <f aca="false">C100/H100</f>
        <v>60.4054571060436</v>
      </c>
      <c r="J100" s="42" t="n">
        <f aca="false">J99+I100</f>
        <v>5463.6743166828</v>
      </c>
      <c r="K100" s="40" t="n">
        <f aca="false">J100*H100</f>
        <v>904500.11943311</v>
      </c>
      <c r="L100" s="40" t="n">
        <f aca="false">L99+C100</f>
        <v>624000</v>
      </c>
    </row>
    <row r="101" customFormat="false" ht="15" hidden="false" customHeight="false" outlineLevel="0" collapsed="false">
      <c r="A101" s="33" t="n">
        <v>97</v>
      </c>
      <c r="B101" s="34" t="n">
        <f aca="false">EDATE(B100,1)</f>
        <v>48580</v>
      </c>
      <c r="C101" s="35" t="n">
        <f aca="false">Assumptions!$C$6+(YEAR(B101)-YEAR(Assumptions!$C$4))*Assumptions!$C$7</f>
        <v>11000</v>
      </c>
      <c r="D101" s="36" t="n">
        <f aca="false">Assumptions!$D$19*(1+Assumptions!$F$19)^((B101-Assumptions!$C$4)/365)</f>
        <v>185.81258813676</v>
      </c>
      <c r="E101" s="37" t="n">
        <f aca="false">C101/D101</f>
        <v>59.199433742906</v>
      </c>
      <c r="F101" s="37" t="n">
        <f aca="false">F100+E101</f>
        <v>5059.33782385039</v>
      </c>
      <c r="G101" s="35" t="n">
        <f aca="false">F101*D101</f>
        <v>940088.655307843</v>
      </c>
      <c r="H101" s="36" t="n">
        <f aca="false">Assumptions!$D$20*(1+Assumptions!$F$20)^((B101-Assumptions!$C$4)/365)</f>
        <v>167.083026676399</v>
      </c>
      <c r="I101" s="37" t="n">
        <f aca="false">C101/H101</f>
        <v>65.8355323027781</v>
      </c>
      <c r="J101" s="37" t="n">
        <f aca="false">J100+I101</f>
        <v>5529.50984898558</v>
      </c>
      <c r="K101" s="35" t="n">
        <f aca="false">J101*H101</f>
        <v>923887.241605468</v>
      </c>
      <c r="L101" s="35" t="n">
        <f aca="false">L100+C101</f>
        <v>635000</v>
      </c>
    </row>
    <row r="102" customFormat="false" ht="15" hidden="false" customHeight="false" outlineLevel="0" collapsed="false">
      <c r="A102" s="33" t="n">
        <v>98</v>
      </c>
      <c r="B102" s="34" t="n">
        <f aca="false">EDATE(B101,1)</f>
        <v>48611</v>
      </c>
      <c r="C102" s="35" t="n">
        <f aca="false">Assumptions!$C$6+(YEAR(B102)-YEAR(Assumptions!$C$4))*Assumptions!$C$7</f>
        <v>11000</v>
      </c>
      <c r="D102" s="36" t="n">
        <f aca="false">Assumptions!$D$19*(1+Assumptions!$F$19)^((B102-Assumptions!$C$4)/365)</f>
        <v>187.60970189672</v>
      </c>
      <c r="E102" s="37" t="n">
        <f aca="false">C102/D102</f>
        <v>58.6323622328206</v>
      </c>
      <c r="F102" s="37" t="n">
        <f aca="false">F101+E102</f>
        <v>5117.97018608321</v>
      </c>
      <c r="G102" s="35" t="n">
        <f aca="false">F102*D102</f>
        <v>960180.860927373</v>
      </c>
      <c r="H102" s="36" t="n">
        <f aca="false">Assumptions!$D$20*(1+Assumptions!$F$20)^((B102-Assumptions!$C$4)/365)</f>
        <v>168.63233079207</v>
      </c>
      <c r="I102" s="37" t="n">
        <f aca="false">C102/H102</f>
        <v>65.2306704671208</v>
      </c>
      <c r="J102" s="37" t="n">
        <f aca="false">J101+I102</f>
        <v>5594.7405194527</v>
      </c>
      <c r="K102" s="35" t="n">
        <f aca="false">J102*H102</f>
        <v>943454.133972143</v>
      </c>
      <c r="L102" s="35" t="n">
        <f aca="false">L101+C102</f>
        <v>646000</v>
      </c>
    </row>
    <row r="103" customFormat="false" ht="15" hidden="false" customHeight="false" outlineLevel="0" collapsed="false">
      <c r="A103" s="33" t="n">
        <v>99</v>
      </c>
      <c r="B103" s="34" t="n">
        <f aca="false">EDATE(B102,1)</f>
        <v>48639</v>
      </c>
      <c r="C103" s="35" t="n">
        <f aca="false">Assumptions!$C$6+(YEAR(B103)-YEAR(Assumptions!$C$4))*Assumptions!$C$7</f>
        <v>11000</v>
      </c>
      <c r="D103" s="36" t="n">
        <f aca="false">Assumptions!$D$19*(1+Assumptions!$F$19)^((B103-Assumptions!$C$4)/365)</f>
        <v>189.247836156399</v>
      </c>
      <c r="E103" s="37" t="n">
        <f aca="false">C103/D103</f>
        <v>58.1248389593704</v>
      </c>
      <c r="F103" s="37" t="n">
        <f aca="false">F102+E103</f>
        <v>5176.09502504258</v>
      </c>
      <c r="G103" s="35" t="n">
        <f aca="false">F103*D103</f>
        <v>979564.783229208</v>
      </c>
      <c r="H103" s="36" t="n">
        <f aca="false">Assumptions!$D$20*(1+Assumptions!$F$20)^((B103-Assumptions!$C$4)/365)</f>
        <v>170.044046597193</v>
      </c>
      <c r="I103" s="37" t="n">
        <f aca="false">C103/H103</f>
        <v>64.6891215548242</v>
      </c>
      <c r="J103" s="37" t="n">
        <f aca="false">J102+I103</f>
        <v>5659.42964100752</v>
      </c>
      <c r="K103" s="35" t="n">
        <f aca="false">J103*H103</f>
        <v>962352.317589017</v>
      </c>
      <c r="L103" s="35" t="n">
        <f aca="false">L102+C103</f>
        <v>657000</v>
      </c>
    </row>
    <row r="104" customFormat="false" ht="15" hidden="false" customHeight="false" outlineLevel="0" collapsed="false">
      <c r="A104" s="33" t="n">
        <v>100</v>
      </c>
      <c r="B104" s="34" t="n">
        <f aca="false">EDATE(B103,1)</f>
        <v>48670</v>
      </c>
      <c r="C104" s="35" t="n">
        <f aca="false">Assumptions!$C$6+(YEAR(B104)-YEAR(Assumptions!$C$4))*Assumptions!$C$7</f>
        <v>11000</v>
      </c>
      <c r="D104" s="36" t="n">
        <f aca="false">Assumptions!$D$19*(1+Assumptions!$F$19)^((B104-Assumptions!$C$4)/365)</f>
        <v>191.078174422551</v>
      </c>
      <c r="E104" s="37" t="n">
        <f aca="false">C104/D104</f>
        <v>57.5680609951537</v>
      </c>
      <c r="F104" s="37" t="n">
        <f aca="false">F103+E104</f>
        <v>5233.66308603773</v>
      </c>
      <c r="G104" s="35" t="n">
        <f aca="false">F104*D104</f>
        <v>1000038.78802278</v>
      </c>
      <c r="H104" s="36" t="n">
        <f aca="false">Assumptions!$D$20*(1+Assumptions!$F$20)^((B104-Assumptions!$C$4)/365)</f>
        <v>171.620807244153</v>
      </c>
      <c r="I104" s="37" t="n">
        <f aca="false">C104/H104</f>
        <v>64.0947923310433</v>
      </c>
      <c r="J104" s="37" t="n">
        <f aca="false">J103+I104</f>
        <v>5723.52443333856</v>
      </c>
      <c r="K104" s="35" t="n">
        <f aca="false">J104*H104</f>
        <v>982275.883531198</v>
      </c>
      <c r="L104" s="35" t="n">
        <f aca="false">L103+C104</f>
        <v>668000</v>
      </c>
    </row>
    <row r="105" customFormat="false" ht="15" hidden="false" customHeight="false" outlineLevel="0" collapsed="false">
      <c r="A105" s="33" t="n">
        <v>101</v>
      </c>
      <c r="B105" s="34" t="n">
        <f aca="false">EDATE(B104,1)</f>
        <v>48700</v>
      </c>
      <c r="C105" s="35" t="n">
        <f aca="false">Assumptions!$C$6+(YEAR(B105)-YEAR(Assumptions!$C$4))*Assumptions!$C$7</f>
        <v>11000</v>
      </c>
      <c r="D105" s="36" t="n">
        <f aca="false">Assumptions!$D$19*(1+Assumptions!$F$19)^((B105-Assumptions!$C$4)/365)</f>
        <v>192.866322799273</v>
      </c>
      <c r="E105" s="37" t="n">
        <f aca="false">C105/D105</f>
        <v>57.0343222204134</v>
      </c>
      <c r="F105" s="37" t="n">
        <f aca="false">F104+E105</f>
        <v>5290.69740825814</v>
      </c>
      <c r="G105" s="35" t="n">
        <f aca="false">F105*D105</f>
        <v>1020397.35417439</v>
      </c>
      <c r="H105" s="36" t="n">
        <f aca="false">Assumptions!$D$20*(1+Assumptions!$F$20)^((B105-Assumptions!$C$4)/365)</f>
        <v>173.160624175953</v>
      </c>
      <c r="I105" s="37" t="n">
        <f aca="false">C105/H105</f>
        <v>63.5248345421912</v>
      </c>
      <c r="J105" s="37" t="n">
        <f aca="false">J104+I105</f>
        <v>5787.04926788076</v>
      </c>
      <c r="K105" s="35" t="n">
        <f aca="false">J105*H105</f>
        <v>1002089.06336323</v>
      </c>
      <c r="L105" s="35" t="n">
        <f aca="false">L104+C105</f>
        <v>679000</v>
      </c>
    </row>
    <row r="106" customFormat="false" ht="15" hidden="false" customHeight="false" outlineLevel="0" collapsed="false">
      <c r="A106" s="33" t="n">
        <v>102</v>
      </c>
      <c r="B106" s="34" t="n">
        <f aca="false">EDATE(B105,1)</f>
        <v>48731</v>
      </c>
      <c r="C106" s="35" t="n">
        <f aca="false">Assumptions!$C$6+(YEAR(B106)-YEAR(Assumptions!$C$4))*Assumptions!$C$7</f>
        <v>11000</v>
      </c>
      <c r="D106" s="36" t="n">
        <f aca="false">Assumptions!$D$19*(1+Assumptions!$F$19)^((B106-Assumptions!$C$4)/365)</f>
        <v>194.731657790896</v>
      </c>
      <c r="E106" s="37" t="n">
        <f aca="false">C106/D106</f>
        <v>56.4879903185123</v>
      </c>
      <c r="F106" s="37" t="n">
        <f aca="false">F105+E106</f>
        <v>5347.18539857666</v>
      </c>
      <c r="G106" s="35" t="n">
        <f aca="false">F106*D106</f>
        <v>1041266.27718011</v>
      </c>
      <c r="H106" s="36" t="n">
        <f aca="false">Assumptions!$D$20*(1+Assumptions!$F$20)^((B106-Assumptions!$C$4)/365)</f>
        <v>174.766283787492</v>
      </c>
      <c r="I106" s="37" t="n">
        <f aca="false">C106/H106</f>
        <v>62.9412021678936</v>
      </c>
      <c r="J106" s="37" t="n">
        <f aca="false">J105+I106</f>
        <v>5849.99047004865</v>
      </c>
      <c r="K106" s="35" t="n">
        <f aca="false">J106*H106</f>
        <v>1022381.09464265</v>
      </c>
      <c r="L106" s="35" t="n">
        <f aca="false">L105+C106</f>
        <v>690000</v>
      </c>
    </row>
    <row r="107" customFormat="false" ht="15" hidden="false" customHeight="false" outlineLevel="0" collapsed="false">
      <c r="A107" s="38" t="n">
        <v>103</v>
      </c>
      <c r="B107" s="39" t="n">
        <f aca="false">EDATE(B106,1)</f>
        <v>48761</v>
      </c>
      <c r="C107" s="40" t="n">
        <f aca="false">Assumptions!$C$6+(YEAR(B107)-YEAR(Assumptions!$C$4))*Assumptions!$C$7</f>
        <v>11000</v>
      </c>
      <c r="D107" s="41" t="n">
        <f aca="false">Assumptions!$D$19*(1+Assumptions!$F$19)^((B107-Assumptions!$C$4)/365)</f>
        <v>196.553996207241</v>
      </c>
      <c r="E107" s="42" t="n">
        <f aca="false">C107/D107</f>
        <v>55.9642653533327</v>
      </c>
      <c r="F107" s="42" t="n">
        <f aca="false">F106+E107</f>
        <v>5403.14966392999</v>
      </c>
      <c r="G107" s="40" t="n">
        <f aca="false">F107*D107</f>
        <v>1062010.65855125</v>
      </c>
      <c r="H107" s="41" t="n">
        <f aca="false">Assumptions!$D$20*(1+Assumptions!$F$20)^((B107-Assumptions!$C$4)/365)</f>
        <v>176.334322577223</v>
      </c>
      <c r="I107" s="42" t="n">
        <f aca="false">C107/H107</f>
        <v>62.3815025868415</v>
      </c>
      <c r="J107" s="42" t="n">
        <f aca="false">J106+I107</f>
        <v>5912.37197263549</v>
      </c>
      <c r="K107" s="40" t="n">
        <f aca="false">J107*H107</f>
        <v>1042554.10661924</v>
      </c>
      <c r="L107" s="40" t="n">
        <f aca="false">L106+C107</f>
        <v>701000</v>
      </c>
    </row>
    <row r="108" customFormat="false" ht="15" hidden="false" customHeight="false" outlineLevel="0" collapsed="false">
      <c r="A108" s="38" t="n">
        <v>104</v>
      </c>
      <c r="B108" s="39" t="n">
        <f aca="false">EDATE(B107,1)</f>
        <v>48792</v>
      </c>
      <c r="C108" s="40" t="n">
        <f aca="false">Assumptions!$C$6+(YEAR(B108)-YEAR(Assumptions!$C$4))*Assumptions!$C$7</f>
        <v>11000</v>
      </c>
      <c r="D108" s="41" t="n">
        <f aca="false">Assumptions!$D$19*(1+Assumptions!$F$19)^((B108-Assumptions!$C$4)/365)</f>
        <v>198.454997074305</v>
      </c>
      <c r="E108" s="42" t="n">
        <f aca="false">C108/D108</f>
        <v>55.4281835285883</v>
      </c>
      <c r="F108" s="42" t="n">
        <f aca="false">F107+E108</f>
        <v>5458.57784745858</v>
      </c>
      <c r="G108" s="40" t="n">
        <f aca="false">F108*D108</f>
        <v>1083282.05074726</v>
      </c>
      <c r="H108" s="41" t="n">
        <f aca="false">Assumptions!$D$20*(1+Assumptions!$F$20)^((B108-Assumptions!$C$4)/365)</f>
        <v>177.969410815312</v>
      </c>
      <c r="I108" s="42" t="n">
        <f aca="false">C108/H108</f>
        <v>61.8083745381123</v>
      </c>
      <c r="J108" s="42" t="n">
        <f aca="false">J107+I108</f>
        <v>5974.1803471736</v>
      </c>
      <c r="K108" s="40" t="n">
        <f aca="false">J108*H108</f>
        <v>1063221.35649091</v>
      </c>
      <c r="L108" s="40" t="n">
        <f aca="false">L107+C108</f>
        <v>712000</v>
      </c>
    </row>
    <row r="109" customFormat="false" ht="15" hidden="false" customHeight="false" outlineLevel="0" collapsed="false">
      <c r="A109" s="38" t="n">
        <v>105</v>
      </c>
      <c r="B109" s="39" t="n">
        <f aca="false">EDATE(B108,1)</f>
        <v>48823</v>
      </c>
      <c r="C109" s="40" t="n">
        <f aca="false">Assumptions!$C$6+(YEAR(B109)-YEAR(Assumptions!$C$4))*Assumptions!$C$7</f>
        <v>11000</v>
      </c>
      <c r="D109" s="41" t="n">
        <f aca="false">Assumptions!$D$19*(1+Assumptions!$F$19)^((B109-Assumptions!$C$4)/365)</f>
        <v>200.374383750694</v>
      </c>
      <c r="E109" s="42" t="n">
        <f aca="false">C109/D109</f>
        <v>54.8972368328589</v>
      </c>
      <c r="F109" s="42" t="n">
        <f aca="false">F108+E109</f>
        <v>5513.47508429144</v>
      </c>
      <c r="G109" s="40" t="n">
        <f aca="false">F109*D109</f>
        <v>1104759.1723397</v>
      </c>
      <c r="H109" s="41" t="n">
        <f aca="false">Assumptions!$D$20*(1+Assumptions!$F$20)^((B109-Assumptions!$C$4)/365)</f>
        <v>179.619660670875</v>
      </c>
      <c r="I109" s="42" t="n">
        <f aca="false">C109/H109</f>
        <v>61.2405120848981</v>
      </c>
      <c r="J109" s="42" t="n">
        <f aca="false">J108+I109</f>
        <v>6035.4208592585</v>
      </c>
      <c r="K109" s="40" t="n">
        <f aca="false">J109*H109</f>
        <v>1084080.24674593</v>
      </c>
      <c r="L109" s="40" t="n">
        <f aca="false">L108+C109</f>
        <v>723000</v>
      </c>
    </row>
    <row r="110" customFormat="false" ht="15" hidden="false" customHeight="false" outlineLevel="0" collapsed="false">
      <c r="A110" s="38" t="n">
        <v>106</v>
      </c>
      <c r="B110" s="39" t="n">
        <f aca="false">EDATE(B109,1)</f>
        <v>48853</v>
      </c>
      <c r="C110" s="40" t="n">
        <f aca="false">Assumptions!$C$6+(YEAR(B110)-YEAR(Assumptions!$C$4))*Assumptions!$C$7</f>
        <v>11000</v>
      </c>
      <c r="D110" s="41" t="n">
        <f aca="false">Assumptions!$D$19*(1+Assumptions!$F$19)^((B110-Assumptions!$C$4)/365)</f>
        <v>202.249527942978</v>
      </c>
      <c r="E110" s="42" t="n">
        <f aca="false">C110/D110</f>
        <v>54.3882604418308</v>
      </c>
      <c r="F110" s="42" t="n">
        <f aca="false">F109+E110</f>
        <v>5567.86334473327</v>
      </c>
      <c r="G110" s="40" t="n">
        <f aca="false">F110*D110</f>
        <v>1126097.73312331</v>
      </c>
      <c r="H110" s="41" t="n">
        <f aca="false">Assumptions!$D$20*(1+Assumptions!$F$20)^((B110-Assumptions!$C$4)/365)</f>
        <v>181.231244949183</v>
      </c>
      <c r="I110" s="42" t="n">
        <f aca="false">C110/H110</f>
        <v>60.6959357537072</v>
      </c>
      <c r="J110" s="42" t="n">
        <f aca="false">J109+I110</f>
        <v>6096.11679501221</v>
      </c>
      <c r="K110" s="40" t="n">
        <f aca="false">J110*H110</f>
        <v>1104806.83611569</v>
      </c>
      <c r="L110" s="40" t="n">
        <f aca="false">L109+C110</f>
        <v>734000</v>
      </c>
    </row>
    <row r="111" customFormat="false" ht="15" hidden="false" customHeight="false" outlineLevel="0" collapsed="false">
      <c r="A111" s="38" t="n">
        <v>107</v>
      </c>
      <c r="B111" s="39" t="n">
        <f aca="false">EDATE(B110,1)</f>
        <v>48884</v>
      </c>
      <c r="C111" s="40" t="n">
        <f aca="false">Assumptions!$C$6+(YEAR(B111)-YEAR(Assumptions!$C$4))*Assumptions!$C$7</f>
        <v>11000</v>
      </c>
      <c r="D111" s="41" t="n">
        <f aca="false">Assumptions!$D$19*(1+Assumptions!$F$19)^((B111-Assumptions!$C$4)/365)</f>
        <v>204.205613982446</v>
      </c>
      <c r="E111" s="42" t="n">
        <f aca="false">C111/D111</f>
        <v>53.867275171708</v>
      </c>
      <c r="F111" s="42" t="n">
        <f aca="false">F110+E111</f>
        <v>5621.73061990497</v>
      </c>
      <c r="G111" s="40" t="n">
        <f aca="false">F111*D111</f>
        <v>1147988.95288161</v>
      </c>
      <c r="H111" s="41" t="n">
        <f aca="false">Assumptions!$D$20*(1+Assumptions!$F$20)^((B111-Assumptions!$C$4)/365)</f>
        <v>182.911740683988</v>
      </c>
      <c r="I111" s="42" t="n">
        <f aca="false">C111/H111</f>
        <v>60.1382937960469</v>
      </c>
      <c r="J111" s="42" t="n">
        <f aca="false">J110+I111</f>
        <v>6156.25508880826</v>
      </c>
      <c r="K111" s="40" t="n">
        <f aca="false">J111*H111</f>
        <v>1126051.33438858</v>
      </c>
      <c r="L111" s="40" t="n">
        <f aca="false">L110+C111</f>
        <v>745000</v>
      </c>
    </row>
    <row r="112" customFormat="false" ht="15" hidden="false" customHeight="false" outlineLevel="0" collapsed="false">
      <c r="A112" s="38" t="n">
        <v>108</v>
      </c>
      <c r="B112" s="39" t="n">
        <f aca="false">EDATE(B111,1)</f>
        <v>48914</v>
      </c>
      <c r="C112" s="40" t="n">
        <f aca="false">Assumptions!$C$6+(YEAR(B112)-YEAR(Assumptions!$C$4))*Assumptions!$C$7</f>
        <v>11000</v>
      </c>
      <c r="D112" s="41" t="n">
        <f aca="false">Assumptions!$D$19*(1+Assumptions!$F$19)^((B112-Assumptions!$C$4)/365)</f>
        <v>206.116611605612</v>
      </c>
      <c r="E112" s="42" t="n">
        <f aca="false">C112/D112</f>
        <v>53.3678480075524</v>
      </c>
      <c r="F112" s="42" t="n">
        <f aca="false">F111+E112</f>
        <v>5675.09846791253</v>
      </c>
      <c r="G112" s="40" t="n">
        <f aca="false">F112*D112</f>
        <v>1169732.06673433</v>
      </c>
      <c r="H112" s="41" t="n">
        <f aca="false">Assumptions!$D$20*(1+Assumptions!$F$20)^((B112-Assumptions!$C$4)/365)</f>
        <v>184.552862176498</v>
      </c>
      <c r="I112" s="42" t="n">
        <f aca="false">C112/H112</f>
        <v>59.6035188523932</v>
      </c>
      <c r="J112" s="42" t="n">
        <f aca="false">J111+I112</f>
        <v>6215.85860766065</v>
      </c>
      <c r="K112" s="40" t="n">
        <f aca="false">J112*H112</f>
        <v>1147154.49692819</v>
      </c>
      <c r="L112" s="40" t="n">
        <f aca="false">L111+C112</f>
        <v>756000</v>
      </c>
    </row>
    <row r="113" customFormat="false" ht="15" hidden="false" customHeight="false" outlineLevel="0" collapsed="false">
      <c r="A113" s="33" t="n">
        <v>109</v>
      </c>
      <c r="B113" s="34" t="n">
        <f aca="false">EDATE(B112,1)</f>
        <v>48945</v>
      </c>
      <c r="C113" s="35" t="n">
        <f aca="false">Assumptions!$C$6+(YEAR(B113)-YEAR(Assumptions!$C$4))*Assumptions!$C$7</f>
        <v>12000</v>
      </c>
      <c r="D113" s="36" t="n">
        <f aca="false">Assumptions!$D$19*(1+Assumptions!$F$19)^((B113-Assumptions!$C$4)/365)</f>
        <v>208.110098713171</v>
      </c>
      <c r="E113" s="37" t="n">
        <f aca="false">C113/D113</f>
        <v>57.6617861132201</v>
      </c>
      <c r="F113" s="37" t="n">
        <f aca="false">F112+E113</f>
        <v>5732.76025402575</v>
      </c>
      <c r="G113" s="35" t="n">
        <f aca="false">F113*D113</f>
        <v>1193045.30236424</v>
      </c>
      <c r="H113" s="36" t="n">
        <f aca="false">Assumptions!$D$20*(1+Assumptions!$F$20)^((B113-Assumptions!$C$4)/365)</f>
        <v>186.26415813885</v>
      </c>
      <c r="I113" s="37" t="n">
        <f aca="false">C113/H113</f>
        <v>64.4246328435053</v>
      </c>
      <c r="J113" s="37" t="n">
        <f aca="false">J112+I113</f>
        <v>6280.28324050415</v>
      </c>
      <c r="K113" s="35" t="n">
        <f aca="false">J113*H113</f>
        <v>1169791.67066603</v>
      </c>
      <c r="L113" s="35" t="n">
        <f aca="false">L112+C113</f>
        <v>768000</v>
      </c>
    </row>
    <row r="114" customFormat="false" ht="15" hidden="false" customHeight="false" outlineLevel="0" collapsed="false">
      <c r="A114" s="33" t="n">
        <v>110</v>
      </c>
      <c r="B114" s="34" t="n">
        <f aca="false">EDATE(B113,1)</f>
        <v>48976</v>
      </c>
      <c r="C114" s="35" t="n">
        <f aca="false">Assumptions!$C$6+(YEAR(B114)-YEAR(Assumptions!$C$4))*Assumptions!$C$7</f>
        <v>12000</v>
      </c>
      <c r="D114" s="36" t="n">
        <f aca="false">Assumptions!$D$19*(1+Assumptions!$F$19)^((B114-Assumptions!$C$4)/365)</f>
        <v>210.122866124327</v>
      </c>
      <c r="E114" s="37" t="n">
        <f aca="false">C114/D114</f>
        <v>57.1094437332668</v>
      </c>
      <c r="F114" s="37" t="n">
        <f aca="false">F113+E114</f>
        <v>5789.86969775901</v>
      </c>
      <c r="G114" s="35" t="n">
        <f aca="false">F114*D114</f>
        <v>1216584.01537951</v>
      </c>
      <c r="H114" s="36" t="n">
        <f aca="false">Assumptions!$D$20*(1+Assumptions!$F$20)^((B114-Assumptions!$C$4)/365)</f>
        <v>187.991322366999</v>
      </c>
      <c r="I114" s="37" t="n">
        <f aca="false">C114/H114</f>
        <v>63.8327336012533</v>
      </c>
      <c r="J114" s="37" t="n">
        <f aca="false">J113+I114</f>
        <v>6344.11597410541</v>
      </c>
      <c r="K114" s="35" t="n">
        <f aca="false">J114*H114</f>
        <v>1192638.75122168</v>
      </c>
      <c r="L114" s="35" t="n">
        <f aca="false">L113+C114</f>
        <v>780000</v>
      </c>
    </row>
    <row r="115" customFormat="false" ht="15" hidden="false" customHeight="false" outlineLevel="0" collapsed="false">
      <c r="A115" s="33" t="n">
        <v>111</v>
      </c>
      <c r="B115" s="34" t="n">
        <f aca="false">EDATE(B114,1)</f>
        <v>49004</v>
      </c>
      <c r="C115" s="35" t="n">
        <f aca="false">Assumptions!$C$6+(YEAR(B115)-YEAR(Assumptions!$C$4))*Assumptions!$C$7</f>
        <v>12000</v>
      </c>
      <c r="D115" s="36" t="n">
        <f aca="false">Assumptions!$D$19*(1+Assumptions!$F$19)^((B115-Assumptions!$C$4)/365)</f>
        <v>211.957576495167</v>
      </c>
      <c r="E115" s="37" t="n">
        <f aca="false">C115/D115</f>
        <v>56.6151028825037</v>
      </c>
      <c r="F115" s="37" t="n">
        <f aca="false">F114+E115</f>
        <v>5846.48480064152</v>
      </c>
      <c r="G115" s="35" t="n">
        <f aca="false">F115*D115</f>
        <v>1239206.7493598</v>
      </c>
      <c r="H115" s="36" t="n">
        <f aca="false">Assumptions!$D$20*(1+Assumptions!$F$20)^((B115-Assumptions!$C$4)/365)</f>
        <v>189.565103146551</v>
      </c>
      <c r="I115" s="37" t="n">
        <f aca="false">C115/H115</f>
        <v>63.3027904440985</v>
      </c>
      <c r="J115" s="37" t="n">
        <f aca="false">J114+I115</f>
        <v>6407.41876454951</v>
      </c>
      <c r="K115" s="35" t="n">
        <f aca="false">J115*H115</f>
        <v>1214622.99900497</v>
      </c>
      <c r="L115" s="35" t="n">
        <f aca="false">L114+C115</f>
        <v>792000</v>
      </c>
    </row>
    <row r="116" customFormat="false" ht="15" hidden="false" customHeight="false" outlineLevel="0" collapsed="false">
      <c r="A116" s="33" t="n">
        <v>112</v>
      </c>
      <c r="B116" s="34" t="n">
        <f aca="false">EDATE(B115,1)</f>
        <v>49035</v>
      </c>
      <c r="C116" s="35" t="n">
        <f aca="false">Assumptions!$C$6+(YEAR(B116)-YEAR(Assumptions!$C$4))*Assumptions!$C$7</f>
        <v>12000</v>
      </c>
      <c r="D116" s="36" t="n">
        <f aca="false">Assumptions!$D$19*(1+Assumptions!$F$19)^((B116-Assumptions!$C$4)/365)</f>
        <v>214.007555353257</v>
      </c>
      <c r="E116" s="37" t="n">
        <f aca="false">C116/D116</f>
        <v>56.0727866835912</v>
      </c>
      <c r="F116" s="37" t="n">
        <f aca="false">F115+E116</f>
        <v>5902.55758732511</v>
      </c>
      <c r="G116" s="35" t="n">
        <f aca="false">F116*D116</f>
        <v>1263191.91959526</v>
      </c>
      <c r="H116" s="36" t="n">
        <f aca="false">Assumptions!$D$20*(1+Assumptions!$F$20)^((B116-Assumptions!$C$4)/365)</f>
        <v>191.322875915782</v>
      </c>
      <c r="I116" s="37" t="n">
        <f aca="false">C116/H116</f>
        <v>62.7211980928108</v>
      </c>
      <c r="J116" s="37" t="n">
        <f aca="false">J115+I116</f>
        <v>6470.13996264232</v>
      </c>
      <c r="K116" s="35" t="n">
        <f aca="false">J116*H116</f>
        <v>1237885.78523036</v>
      </c>
      <c r="L116" s="35" t="n">
        <f aca="false">L115+C116</f>
        <v>804000</v>
      </c>
    </row>
    <row r="117" customFormat="false" ht="15" hidden="false" customHeight="false" outlineLevel="0" collapsed="false">
      <c r="A117" s="33" t="n">
        <v>113</v>
      </c>
      <c r="B117" s="34" t="n">
        <f aca="false">EDATE(B116,1)</f>
        <v>49065</v>
      </c>
      <c r="C117" s="35" t="n">
        <f aca="false">Assumptions!$C$6+(YEAR(B117)-YEAR(Assumptions!$C$4))*Assumptions!$C$7</f>
        <v>12000</v>
      </c>
      <c r="D117" s="36" t="n">
        <f aca="false">Assumptions!$D$19*(1+Assumptions!$F$19)^((B117-Assumptions!$C$4)/365)</f>
        <v>216.010281535186</v>
      </c>
      <c r="E117" s="37" t="n">
        <f aca="false">C117/D117</f>
        <v>55.5529112536494</v>
      </c>
      <c r="F117" s="37" t="n">
        <f aca="false">F116+E117</f>
        <v>5958.11049857876</v>
      </c>
      <c r="G117" s="35" t="n">
        <f aca="false">F117*D117</f>
        <v>1287013.12621574</v>
      </c>
      <c r="H117" s="36" t="n">
        <f aca="false">Assumptions!$D$20*(1+Assumptions!$F$20)^((B117-Assumptions!$C$4)/365)</f>
        <v>193.039463831353</v>
      </c>
      <c r="I117" s="37" t="n">
        <f aca="false">C117/H117</f>
        <v>62.1634548803124</v>
      </c>
      <c r="J117" s="37" t="n">
        <f aca="false">J116+I117</f>
        <v>6532.30341752263</v>
      </c>
      <c r="K117" s="35" t="n">
        <f aca="false">J117*H117</f>
        <v>1260992.34930228</v>
      </c>
      <c r="L117" s="35" t="n">
        <f aca="false">L116+C117</f>
        <v>816000</v>
      </c>
    </row>
    <row r="118" customFormat="false" ht="15" hidden="false" customHeight="false" outlineLevel="0" collapsed="false">
      <c r="A118" s="33" t="n">
        <v>114</v>
      </c>
      <c r="B118" s="34" t="n">
        <f aca="false">EDATE(B117,1)</f>
        <v>49096</v>
      </c>
      <c r="C118" s="35" t="n">
        <f aca="false">Assumptions!$C$6+(YEAR(B118)-YEAR(Assumptions!$C$4))*Assumptions!$C$7</f>
        <v>12000</v>
      </c>
      <c r="D118" s="36" t="n">
        <f aca="false">Assumptions!$D$19*(1+Assumptions!$F$19)^((B118-Assumptions!$C$4)/365)</f>
        <v>218.099456725804</v>
      </c>
      <c r="E118" s="37" t="n">
        <f aca="false">C118/D118</f>
        <v>55.0207697907588</v>
      </c>
      <c r="F118" s="37" t="n">
        <f aca="false">F117+E118</f>
        <v>6013.13126836952</v>
      </c>
      <c r="G118" s="35" t="n">
        <f aca="false">F118*D118</f>
        <v>1311460.66285233</v>
      </c>
      <c r="H118" s="36" t="n">
        <f aca="false">Assumptions!$D$20*(1+Assumptions!$F$20)^((B118-Assumptions!$C$4)/365)</f>
        <v>194.829453166296</v>
      </c>
      <c r="I118" s="37" t="n">
        <f aca="false">C118/H118</f>
        <v>61.5923301378742</v>
      </c>
      <c r="J118" s="37" t="n">
        <f aca="false">J117+I118</f>
        <v>6593.8957476605</v>
      </c>
      <c r="K118" s="35" t="n">
        <f aca="false">J118*H118</f>
        <v>1284685.10275226</v>
      </c>
      <c r="L118" s="35" t="n">
        <f aca="false">L117+C118</f>
        <v>828000</v>
      </c>
    </row>
    <row r="119" customFormat="false" ht="15" hidden="false" customHeight="false" outlineLevel="0" collapsed="false">
      <c r="A119" s="38" t="n">
        <v>115</v>
      </c>
      <c r="B119" s="39" t="n">
        <f aca="false">EDATE(B118,1)</f>
        <v>49126</v>
      </c>
      <c r="C119" s="40" t="n">
        <f aca="false">Assumptions!$C$6+(YEAR(B119)-YEAR(Assumptions!$C$4))*Assumptions!$C$7</f>
        <v>12000</v>
      </c>
      <c r="D119" s="41" t="n">
        <f aca="false">Assumptions!$D$19*(1+Assumptions!$F$19)^((B119-Assumptions!$C$4)/365)</f>
        <v>220.14047575211</v>
      </c>
      <c r="E119" s="42" t="n">
        <f aca="false">C119/D119</f>
        <v>54.510648071428</v>
      </c>
      <c r="F119" s="42" t="n">
        <f aca="false">F118+E119</f>
        <v>6067.64191644094</v>
      </c>
      <c r="G119" s="40" t="n">
        <f aca="false">F119*D119</f>
        <v>1335733.57817875</v>
      </c>
      <c r="H119" s="41" t="n">
        <f aca="false">Assumptions!$D$20*(1+Assumptions!$F$20)^((B119-Assumptions!$C$4)/365)</f>
        <v>196.577502809089</v>
      </c>
      <c r="I119" s="42" t="n">
        <f aca="false">C119/H119</f>
        <v>61.0446252929264</v>
      </c>
      <c r="J119" s="42" t="n">
        <f aca="false">J118+I119</f>
        <v>6654.94037295343</v>
      </c>
      <c r="K119" s="40" t="n">
        <f aca="false">J119*H119</f>
        <v>1308211.55985857</v>
      </c>
      <c r="L119" s="40" t="n">
        <f aca="false">L118+C119</f>
        <v>840000</v>
      </c>
    </row>
    <row r="120" customFormat="false" ht="15" hidden="false" customHeight="false" outlineLevel="0" collapsed="false">
      <c r="A120" s="38" t="n">
        <v>116</v>
      </c>
      <c r="B120" s="39" t="n">
        <f aca="false">EDATE(B119,1)</f>
        <v>49157</v>
      </c>
      <c r="C120" s="40" t="n">
        <f aca="false">Assumptions!$C$6+(YEAR(B120)-YEAR(Assumptions!$C$4))*Assumptions!$C$7</f>
        <v>12000</v>
      </c>
      <c r="D120" s="41" t="n">
        <f aca="false">Assumptions!$D$19*(1+Assumptions!$F$19)^((B120-Assumptions!$C$4)/365)</f>
        <v>222.269596723221</v>
      </c>
      <c r="E120" s="42" t="n">
        <f aca="false">C120/D120</f>
        <v>53.9884904499236</v>
      </c>
      <c r="F120" s="42" t="n">
        <f aca="false">F119+E120</f>
        <v>6121.63040689087</v>
      </c>
      <c r="G120" s="40" t="n">
        <f aca="false">F120*D120</f>
        <v>1360652.32182824</v>
      </c>
      <c r="H120" s="41" t="n">
        <f aca="false">Assumptions!$D$20*(1+Assumptions!$F$20)^((B120-Assumptions!$C$4)/365)</f>
        <v>198.40029917691</v>
      </c>
      <c r="I120" s="42" t="n">
        <f aca="false">C120/H120</f>
        <v>60.483779761339</v>
      </c>
      <c r="J120" s="42" t="n">
        <f aca="false">J119+I120</f>
        <v>6715.42415271477</v>
      </c>
      <c r="K120" s="40" t="n">
        <f aca="false">J120*H120</f>
        <v>1332342.16099846</v>
      </c>
      <c r="L120" s="40" t="n">
        <f aca="false">L119+C120</f>
        <v>852000</v>
      </c>
    </row>
    <row r="121" customFormat="false" ht="15" hidden="false" customHeight="false" outlineLevel="0" collapsed="false">
      <c r="A121" s="38" t="n">
        <v>117</v>
      </c>
      <c r="B121" s="39" t="n">
        <f aca="false">EDATE(B120,1)</f>
        <v>49188</v>
      </c>
      <c r="C121" s="40" t="n">
        <f aca="false">Assumptions!$C$6+(YEAR(B121)-YEAR(Assumptions!$C$4))*Assumptions!$C$7</f>
        <v>12000</v>
      </c>
      <c r="D121" s="41" t="n">
        <f aca="false">Assumptions!$D$19*(1+Assumptions!$F$19)^((B121-Assumptions!$C$4)/365)</f>
        <v>224.419309800777</v>
      </c>
      <c r="E121" s="42" t="n">
        <f aca="false">C121/D121</f>
        <v>53.47133457746</v>
      </c>
      <c r="F121" s="42" t="n">
        <f aca="false">F120+E121</f>
        <v>6175.10174146833</v>
      </c>
      <c r="G121" s="40" t="n">
        <f aca="false">F121*D121</f>
        <v>1385812.0707699</v>
      </c>
      <c r="H121" s="41" t="n">
        <f aca="false">Assumptions!$D$20*(1+Assumptions!$F$20)^((B121-Assumptions!$C$4)/365)</f>
        <v>200.239997715891</v>
      </c>
      <c r="I121" s="42" t="n">
        <f aca="false">C121/H121</f>
        <v>59.9280869800353</v>
      </c>
      <c r="J121" s="42" t="n">
        <f aca="false">J120+I121</f>
        <v>6775.35223969481</v>
      </c>
      <c r="K121" s="40" t="n">
        <f aca="false">J121*H121</f>
        <v>1356696.51700085</v>
      </c>
      <c r="L121" s="40" t="n">
        <f aca="false">L120+C121</f>
        <v>864000</v>
      </c>
    </row>
    <row r="122" customFormat="false" ht="15" hidden="false" customHeight="false" outlineLevel="0" collapsed="false">
      <c r="A122" s="38" t="n">
        <v>118</v>
      </c>
      <c r="B122" s="39" t="n">
        <f aca="false">EDATE(B121,1)</f>
        <v>49218</v>
      </c>
      <c r="C122" s="40" t="n">
        <f aca="false">Assumptions!$C$6+(YEAR(B122)-YEAR(Assumptions!$C$4))*Assumptions!$C$7</f>
        <v>12000</v>
      </c>
      <c r="D122" s="41" t="n">
        <f aca="false">Assumptions!$D$19*(1+Assumptions!$F$19)^((B122-Assumptions!$C$4)/365)</f>
        <v>226.519471296135</v>
      </c>
      <c r="E122" s="42" t="n">
        <f aca="false">C122/D122</f>
        <v>52.9755783524326</v>
      </c>
      <c r="F122" s="42" t="n">
        <f aca="false">F121+E122</f>
        <v>6228.07731982076</v>
      </c>
      <c r="G122" s="40" t="n">
        <f aca="false">F122*D122</f>
        <v>1410780.78167725</v>
      </c>
      <c r="H122" s="41" t="n">
        <f aca="false">Assumptions!$D$20*(1+Assumptions!$F$20)^((B122-Assumptions!$C$4)/365)</f>
        <v>202.036591869349</v>
      </c>
      <c r="I122" s="42" t="n">
        <f aca="false">C122/H122</f>
        <v>59.3951812835965</v>
      </c>
      <c r="J122" s="42" t="n">
        <f aca="false">J121+I122</f>
        <v>6834.7474209784</v>
      </c>
      <c r="K122" s="40" t="n">
        <f aca="false">J122*H122</f>
        <v>1380869.0752223</v>
      </c>
      <c r="L122" s="40" t="n">
        <f aca="false">L121+C122</f>
        <v>876000</v>
      </c>
    </row>
    <row r="123" customFormat="false" ht="15" hidden="false" customHeight="false" outlineLevel="0" collapsed="false">
      <c r="A123" s="38" t="n">
        <v>119</v>
      </c>
      <c r="B123" s="39" t="n">
        <f aca="false">EDATE(B122,1)</f>
        <v>49249</v>
      </c>
      <c r="C123" s="40" t="n">
        <f aca="false">Assumptions!$C$6+(YEAR(B123)-YEAR(Assumptions!$C$4))*Assumptions!$C$7</f>
        <v>12000</v>
      </c>
      <c r="D123" s="41" t="n">
        <f aca="false">Assumptions!$D$19*(1+Assumptions!$F$19)^((B123-Assumptions!$C$4)/365)</f>
        <v>228.71028766034</v>
      </c>
      <c r="E123" s="42" t="n">
        <f aca="false">C123/D123</f>
        <v>52.468125167248</v>
      </c>
      <c r="F123" s="42" t="n">
        <f aca="false">F122+E123</f>
        <v>6280.54544498801</v>
      </c>
      <c r="G123" s="40" t="n">
        <f aca="false">F123*D123</f>
        <v>1436425.35538704</v>
      </c>
      <c r="H123" s="41" t="n">
        <f aca="false">Assumptions!$D$20*(1+Assumptions!$F$20)^((B123-Assumptions!$C$4)/365)</f>
        <v>203.910008514509</v>
      </c>
      <c r="I123" s="42" t="n">
        <f aca="false">C123/H123</f>
        <v>58.849489965796</v>
      </c>
      <c r="J123" s="42" t="n">
        <f aca="false">J122+I123</f>
        <v>6893.5969109442</v>
      </c>
      <c r="K123" s="40" t="n">
        <f aca="false">J123*H123</f>
        <v>1405673.40480623</v>
      </c>
      <c r="L123" s="40" t="n">
        <f aca="false">L122+C123</f>
        <v>888000</v>
      </c>
    </row>
    <row r="124" customFormat="false" ht="15" hidden="false" customHeight="false" outlineLevel="0" collapsed="false">
      <c r="A124" s="38" t="n">
        <v>120</v>
      </c>
      <c r="B124" s="39" t="n">
        <f aca="false">EDATE(B123,1)</f>
        <v>49279</v>
      </c>
      <c r="C124" s="40" t="n">
        <f aca="false">Assumptions!$C$6+(YEAR(B124)-YEAR(Assumptions!$C$4))*Assumptions!$C$7</f>
        <v>12000</v>
      </c>
      <c r="D124" s="41" t="n">
        <f aca="false">Assumptions!$D$19*(1+Assumptions!$F$19)^((B124-Assumptions!$C$4)/365)</f>
        <v>230.850604998285</v>
      </c>
      <c r="E124" s="42" t="n">
        <f aca="false">C124/D124</f>
        <v>51.9816701372264</v>
      </c>
      <c r="F124" s="42" t="n">
        <f aca="false">F123+E124</f>
        <v>6332.52711512524</v>
      </c>
      <c r="G124" s="40" t="n">
        <f aca="false">F124*D124</f>
        <v>1461867.71569471</v>
      </c>
      <c r="H124" s="41" t="n">
        <f aca="false">Assumptions!$D$20*(1+Assumptions!$F$20)^((B124-Assumptions!$C$4)/365)</f>
        <v>205.73953075436</v>
      </c>
      <c r="I124" s="42" t="n">
        <f aca="false">C124/H124</f>
        <v>58.3261756066085</v>
      </c>
      <c r="J124" s="42" t="n">
        <f aca="false">J123+I124</f>
        <v>6951.92308655081</v>
      </c>
      <c r="K124" s="40" t="n">
        <f aca="false">J124*H124</f>
        <v>1430285.39366736</v>
      </c>
      <c r="L124" s="40" t="n">
        <f aca="false">L123+C124</f>
        <v>900000</v>
      </c>
    </row>
    <row r="126" customFormat="false" ht="15" hidden="false" customHeight="false" outlineLevel="0" collapsed="false">
      <c r="B126" s="43" t="s">
        <v>126</v>
      </c>
      <c r="G126" s="44" t="n">
        <f aca="false">G124</f>
        <v>1461867.71569471</v>
      </c>
      <c r="K126" s="44" t="n">
        <f aca="false">K124</f>
        <v>1430285.39366736</v>
      </c>
      <c r="L126" s="44" t="n">
        <f aca="false">L124</f>
        <v>900000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12"/>
    <col collapsed="false" customWidth="true" hidden="false" outlineLevel="0" max="4" min="3" style="1" width="13"/>
    <col collapsed="false" customWidth="true" hidden="false" outlineLevel="0" max="5" min="5" style="1" width="12"/>
    <col collapsed="false" customWidth="true" hidden="false" outlineLevel="0" max="6" min="6" style="1" width="14"/>
    <col collapsed="false" customWidth="true" hidden="false" outlineLevel="0" max="8" min="7" style="1" width="13"/>
    <col collapsed="false" customWidth="true" hidden="false" outlineLevel="0" max="9" min="9" style="1" width="12"/>
    <col collapsed="false" customWidth="true" hidden="false" outlineLevel="0" max="10" min="10" style="1" width="14"/>
    <col collapsed="false" customWidth="true" hidden="false" outlineLevel="0" max="11" min="11" style="1" width="13"/>
    <col collapsed="false" customWidth="true" hidden="false" outlineLevel="0" max="12" min="12" style="1" width="14"/>
  </cols>
  <sheetData>
    <row r="1" customFormat="false" ht="19.7" hidden="false" customHeight="false" outlineLevel="0" collapsed="false">
      <c r="A1" s="2" t="s">
        <v>127</v>
      </c>
    </row>
    <row r="2" customFormat="false" ht="15" hidden="false" customHeight="false" outlineLevel="0" collapsed="false">
      <c r="A2" s="3" t="s">
        <v>113</v>
      </c>
    </row>
    <row r="4" customFormat="false" ht="30" hidden="false" customHeight="true" outlineLevel="0" collapsed="false">
      <c r="A4" s="6" t="s">
        <v>114</v>
      </c>
      <c r="B4" s="6" t="s">
        <v>115</v>
      </c>
      <c r="C4" s="6" t="s">
        <v>116</v>
      </c>
      <c r="D4" s="6" t="s">
        <v>117</v>
      </c>
      <c r="E4" s="6" t="s">
        <v>118</v>
      </c>
      <c r="F4" s="6" t="s">
        <v>119</v>
      </c>
      <c r="G4" s="6" t="s">
        <v>120</v>
      </c>
      <c r="H4" s="6" t="s">
        <v>121</v>
      </c>
      <c r="I4" s="6" t="s">
        <v>122</v>
      </c>
      <c r="J4" s="6" t="s">
        <v>123</v>
      </c>
      <c r="K4" s="6" t="s">
        <v>124</v>
      </c>
      <c r="L4" s="6" t="s">
        <v>125</v>
      </c>
    </row>
    <row r="5" customFormat="false" ht="15" hidden="false" customHeight="false" outlineLevel="0" collapsed="false">
      <c r="A5" s="33" t="n">
        <v>1</v>
      </c>
      <c r="B5" s="34" t="n">
        <f aca="false">Assumptions!$C$4</f>
        <v>45658</v>
      </c>
      <c r="C5" s="35" t="n">
        <f aca="false">Assumptions!$C$6+(YEAR(B5)-YEAR(Assumptions!$C$4))*Assumptions!$C$7</f>
        <v>3000</v>
      </c>
      <c r="D5" s="36" t="n">
        <f aca="false">Assumptions!$D$21*(1+Assumptions!$F$21)^((B5-Assumptions!$C$4)/365)</f>
        <v>190</v>
      </c>
      <c r="E5" s="37" t="n">
        <f aca="false">C5/D5</f>
        <v>15.7894736842105</v>
      </c>
      <c r="F5" s="37" t="n">
        <f aca="false">E5</f>
        <v>15.7894736842105</v>
      </c>
      <c r="G5" s="35" t="n">
        <f aca="false">F5*D5</f>
        <v>3000</v>
      </c>
      <c r="H5" s="36" t="n">
        <f aca="false">Assumptions!$D$22*(1+Assumptions!$F$22)^((B5-Assumptions!$C$4)/365)</f>
        <v>168</v>
      </c>
      <c r="I5" s="37" t="n">
        <f aca="false">C5/H5</f>
        <v>17.8571428571429</v>
      </c>
      <c r="J5" s="37" t="n">
        <f aca="false">I5</f>
        <v>17.8571428571429</v>
      </c>
      <c r="K5" s="35" t="n">
        <f aca="false">J5*H5</f>
        <v>3000</v>
      </c>
      <c r="L5" s="35" t="n">
        <f aca="false">C5</f>
        <v>3000</v>
      </c>
    </row>
    <row r="6" customFormat="false" ht="15" hidden="false" customHeight="false" outlineLevel="0" collapsed="false">
      <c r="A6" s="33" t="n">
        <v>2</v>
      </c>
      <c r="B6" s="34" t="n">
        <f aca="false">EDATE(B5,1)</f>
        <v>45689</v>
      </c>
      <c r="C6" s="35" t="n">
        <f aca="false">Assumptions!$C$6+(YEAR(B6)-YEAR(Assumptions!$C$4))*Assumptions!$C$7</f>
        <v>3000</v>
      </c>
      <c r="D6" s="36" t="n">
        <f aca="false">Assumptions!$D$21*(1+Assumptions!$F$21)^((B6-Assumptions!$C$4)/365)</f>
        <v>192.126210020077</v>
      </c>
      <c r="E6" s="37" t="n">
        <f aca="false">C6/D6</f>
        <v>15.6147357494144</v>
      </c>
      <c r="F6" s="37" t="n">
        <f aca="false">F5+E6</f>
        <v>31.404209433625</v>
      </c>
      <c r="G6" s="35" t="n">
        <f aca="false">F6*D6</f>
        <v>6033.57173715911</v>
      </c>
      <c r="H6" s="36" t="n">
        <f aca="false">Assumptions!$D$22*(1+Assumptions!$F$22)^((B6-Assumptions!$C$4)/365)</f>
        <v>169.819149760598</v>
      </c>
      <c r="I6" s="37" t="n">
        <f aca="false">C6/H6</f>
        <v>17.6658521976422</v>
      </c>
      <c r="J6" s="37" t="n">
        <f aca="false">J5+I6</f>
        <v>35.5229950547851</v>
      </c>
      <c r="K6" s="35" t="n">
        <f aca="false">J6*H6</f>
        <v>6032.48481715354</v>
      </c>
      <c r="L6" s="35" t="n">
        <f aca="false">L5+C6</f>
        <v>6000</v>
      </c>
    </row>
    <row r="7" customFormat="false" ht="15" hidden="false" customHeight="false" outlineLevel="0" collapsed="false">
      <c r="A7" s="33" t="n">
        <v>3</v>
      </c>
      <c r="B7" s="34" t="n">
        <f aca="false">EDATE(B6,1)</f>
        <v>45717</v>
      </c>
      <c r="C7" s="35" t="n">
        <f aca="false">Assumptions!$C$6+(YEAR(B7)-YEAR(Assumptions!$C$4))*Assumptions!$C$7</f>
        <v>3000</v>
      </c>
      <c r="D7" s="36" t="n">
        <f aca="false">Assumptions!$D$21*(1+Assumptions!$F$21)^((B7-Assumptions!$C$4)/365)</f>
        <v>194.067101459276</v>
      </c>
      <c r="E7" s="37" t="n">
        <f aca="false">C7/D7</f>
        <v>15.4585706564465</v>
      </c>
      <c r="F7" s="37" t="n">
        <f aca="false">F6+E7</f>
        <v>46.8627800900715</v>
      </c>
      <c r="G7" s="35" t="n">
        <f aca="false">F7*D7</f>
        <v>9094.52389840365</v>
      </c>
      <c r="H7" s="36" t="n">
        <f aca="false">Assumptions!$D$22*(1+Assumptions!$F$22)^((B7-Assumptions!$C$4)/365)</f>
        <v>171.479177938962</v>
      </c>
      <c r="I7" s="37" t="n">
        <f aca="false">C7/H7</f>
        <v>17.4948354433321</v>
      </c>
      <c r="J7" s="37" t="n">
        <f aca="false">J6+I7</f>
        <v>53.0178304981172</v>
      </c>
      <c r="K7" s="35" t="n">
        <f aca="false">J7*H7</f>
        <v>9091.45398992435</v>
      </c>
      <c r="L7" s="35" t="n">
        <f aca="false">L6+C7</f>
        <v>9000</v>
      </c>
    </row>
    <row r="8" customFormat="false" ht="15" hidden="false" customHeight="false" outlineLevel="0" collapsed="false">
      <c r="A8" s="33" t="n">
        <v>4</v>
      </c>
      <c r="B8" s="34" t="n">
        <f aca="false">EDATE(B7,1)</f>
        <v>45748</v>
      </c>
      <c r="C8" s="35" t="n">
        <f aca="false">Assumptions!$C$6+(YEAR(B8)-YEAR(Assumptions!$C$4))*Assumptions!$C$7</f>
        <v>3000</v>
      </c>
      <c r="D8" s="36" t="n">
        <f aca="false">Assumptions!$D$21*(1+Assumptions!$F$21)^((B8-Assumptions!$C$4)/365)</f>
        <v>196.23882469975</v>
      </c>
      <c r="E8" s="37" t="n">
        <f aca="false">C8/D8</f>
        <v>15.2874947380574</v>
      </c>
      <c r="F8" s="37" t="n">
        <f aca="false">F7+E8</f>
        <v>62.1502748281289</v>
      </c>
      <c r="G8" s="35" t="n">
        <f aca="false">F8*D8</f>
        <v>12196.2968870385</v>
      </c>
      <c r="H8" s="36" t="n">
        <f aca="false">Assumptions!$D$22*(1+Assumptions!$F$22)^((B8-Assumptions!$C$4)/365)</f>
        <v>173.336001185957</v>
      </c>
      <c r="I8" s="37" t="n">
        <f aca="false">C8/H8</f>
        <v>17.3074259211827</v>
      </c>
      <c r="J8" s="37" t="n">
        <f aca="false">J7+I8</f>
        <v>70.3252564192999</v>
      </c>
      <c r="K8" s="35" t="n">
        <f aca="false">J8*H8</f>
        <v>12189.8987300985</v>
      </c>
      <c r="L8" s="35" t="n">
        <f aca="false">L7+C8</f>
        <v>12000</v>
      </c>
    </row>
    <row r="9" customFormat="false" ht="15" hidden="false" customHeight="false" outlineLevel="0" collapsed="false">
      <c r="A9" s="33" t="n">
        <v>5</v>
      </c>
      <c r="B9" s="34" t="n">
        <f aca="false">EDATE(B8,1)</f>
        <v>45778</v>
      </c>
      <c r="C9" s="35" t="n">
        <f aca="false">Assumptions!$C$6+(YEAR(B9)-YEAR(Assumptions!$C$4))*Assumptions!$C$7</f>
        <v>3000</v>
      </c>
      <c r="D9" s="36" t="n">
        <f aca="false">Assumptions!$D$21*(1+Assumptions!$F$21)^((B9-Assumptions!$C$4)/365)</f>
        <v>198.363629116734</v>
      </c>
      <c r="E9" s="37" t="n">
        <f aca="false">C9/D9</f>
        <v>15.1237402408813</v>
      </c>
      <c r="F9" s="37" t="n">
        <f aca="false">F8+E9</f>
        <v>77.2740150690103</v>
      </c>
      <c r="G9" s="35" t="n">
        <f aca="false">F9*D9</f>
        <v>15328.35406551</v>
      </c>
      <c r="H9" s="36" t="n">
        <f aca="false">Assumptions!$D$22*(1+Assumptions!$F$22)^((B9-Assumptions!$C$4)/365)</f>
        <v>175.152068454996</v>
      </c>
      <c r="I9" s="37" t="n">
        <f aca="false">C9/H9</f>
        <v>17.1279735744076</v>
      </c>
      <c r="J9" s="37" t="n">
        <f aca="false">J8+I9</f>
        <v>87.4532299937076</v>
      </c>
      <c r="K9" s="35" t="n">
        <f aca="false">J9*H9</f>
        <v>15317.6141264683</v>
      </c>
      <c r="L9" s="35" t="n">
        <f aca="false">L8+C9</f>
        <v>15000</v>
      </c>
    </row>
    <row r="10" customFormat="false" ht="15" hidden="false" customHeight="false" outlineLevel="0" collapsed="false">
      <c r="A10" s="33" t="n">
        <v>6</v>
      </c>
      <c r="B10" s="34" t="n">
        <f aca="false">EDATE(B9,1)</f>
        <v>45809</v>
      </c>
      <c r="C10" s="35" t="n">
        <f aca="false">Assumptions!$C$6+(YEAR(B10)-YEAR(Assumptions!$C$4))*Assumptions!$C$7</f>
        <v>3000</v>
      </c>
      <c r="D10" s="36" t="n">
        <f aca="false">Assumptions!$D$21*(1+Assumptions!$F$21)^((B10-Assumptions!$C$4)/365)</f>
        <v>200.583432989612</v>
      </c>
      <c r="E10" s="37" t="n">
        <f aca="false">C10/D10</f>
        <v>14.9563698022626</v>
      </c>
      <c r="F10" s="37" t="n">
        <f aca="false">F9+E10</f>
        <v>92.2303848712729</v>
      </c>
      <c r="G10" s="35" t="n">
        <f aca="false">F10*D10</f>
        <v>18499.8872234331</v>
      </c>
      <c r="H10" s="36" t="n">
        <f aca="false">Assumptions!$D$22*(1+Assumptions!$F$22)^((B10-Assumptions!$C$4)/365)</f>
        <v>177.048662760937</v>
      </c>
      <c r="I10" s="37" t="n">
        <f aca="false">C10/H10</f>
        <v>16.944493978194</v>
      </c>
      <c r="J10" s="37" t="n">
        <f aca="false">J9+I10</f>
        <v>104.397723971902</v>
      </c>
      <c r="K10" s="35" t="n">
        <f aca="false">J10*H10</f>
        <v>18483.4774245106</v>
      </c>
      <c r="L10" s="35" t="n">
        <f aca="false">L9+C10</f>
        <v>18000</v>
      </c>
    </row>
    <row r="11" customFormat="false" ht="15" hidden="false" customHeight="false" outlineLevel="0" collapsed="false">
      <c r="A11" s="38" t="n">
        <v>7</v>
      </c>
      <c r="B11" s="39" t="n">
        <f aca="false">EDATE(B10,1)</f>
        <v>45839</v>
      </c>
      <c r="C11" s="40" t="n">
        <f aca="false">Assumptions!$C$6+(YEAR(B11)-YEAR(Assumptions!$C$4))*Assumptions!$C$7</f>
        <v>3000</v>
      </c>
      <c r="D11" s="41" t="n">
        <f aca="false">Assumptions!$D$21*(1+Assumptions!$F$21)^((B11-Assumptions!$C$4)/365)</f>
        <v>202.755279284769</v>
      </c>
      <c r="E11" s="42" t="n">
        <f aca="false">C11/D11</f>
        <v>14.7961622039272</v>
      </c>
      <c r="F11" s="42" t="n">
        <f aca="false">F10+E11</f>
        <v>107.0265470752</v>
      </c>
      <c r="G11" s="40" t="n">
        <f aca="false">F11*D11</f>
        <v>21700.1974431166</v>
      </c>
      <c r="H11" s="41" t="n">
        <f aca="false">Assumptions!$D$22*(1+Assumptions!$F$22)^((B11-Assumptions!$C$4)/365)</f>
        <v>178.903628141858</v>
      </c>
      <c r="I11" s="42" t="n">
        <f aca="false">C11/H11</f>
        <v>16.768804697584</v>
      </c>
      <c r="J11" s="42" t="n">
        <f aca="false">J10+I11</f>
        <v>121.166528669486</v>
      </c>
      <c r="K11" s="40" t="n">
        <f aca="false">J11*H11</f>
        <v>21677.1315883254</v>
      </c>
      <c r="L11" s="40" t="n">
        <f aca="false">L10+C11</f>
        <v>21000</v>
      </c>
    </row>
    <row r="12" customFormat="false" ht="15" hidden="false" customHeight="false" outlineLevel="0" collapsed="false">
      <c r="A12" s="38" t="n">
        <v>8</v>
      </c>
      <c r="B12" s="39" t="n">
        <f aca="false">EDATE(B11,1)</f>
        <v>45870</v>
      </c>
      <c r="C12" s="40" t="n">
        <f aca="false">Assumptions!$C$6+(YEAR(B12)-YEAR(Assumptions!$C$4))*Assumptions!$C$7</f>
        <v>3000</v>
      </c>
      <c r="D12" s="41" t="n">
        <f aca="false">Assumptions!$D$21*(1+Assumptions!$F$21)^((B12-Assumptions!$C$4)/365)</f>
        <v>205.024228266025</v>
      </c>
      <c r="E12" s="42" t="n">
        <f aca="false">C12/D12</f>
        <v>14.6324169849205</v>
      </c>
      <c r="F12" s="42" t="n">
        <f aca="false">F11+E12</f>
        <v>121.658964060121</v>
      </c>
      <c r="G12" s="40" t="n">
        <f aca="false">F12*D12</f>
        <v>24943.0352180703</v>
      </c>
      <c r="H12" s="41" t="n">
        <f aca="false">Assumptions!$D$22*(1+Assumptions!$F$22)^((B12-Assumptions!$C$4)/365)</f>
        <v>180.840845357956</v>
      </c>
      <c r="I12" s="42" t="n">
        <f aca="false">C12/H12</f>
        <v>16.5891726178442</v>
      </c>
      <c r="J12" s="42" t="n">
        <f aca="false">J11+I12</f>
        <v>137.75570128733</v>
      </c>
      <c r="K12" s="40" t="n">
        <f aca="false">J12*H12</f>
        <v>24911.8574736787</v>
      </c>
      <c r="L12" s="40" t="n">
        <f aca="false">L11+C12</f>
        <v>24000</v>
      </c>
    </row>
    <row r="13" customFormat="false" ht="15" hidden="false" customHeight="false" outlineLevel="0" collapsed="false">
      <c r="A13" s="38" t="n">
        <v>9</v>
      </c>
      <c r="B13" s="39" t="n">
        <f aca="false">EDATE(B12,1)</f>
        <v>45901</v>
      </c>
      <c r="C13" s="40" t="n">
        <f aca="false">Assumptions!$C$6+(YEAR(B13)-YEAR(Assumptions!$C$4))*Assumptions!$C$7</f>
        <v>3000</v>
      </c>
      <c r="D13" s="41" t="n">
        <f aca="false">Assumptions!$D$21*(1+Assumptions!$F$21)^((B13-Assumptions!$C$4)/365)</f>
        <v>207.318568100224</v>
      </c>
      <c r="E13" s="42" t="n">
        <f aca="false">C13/D13</f>
        <v>14.4704838910025</v>
      </c>
      <c r="F13" s="42" t="n">
        <f aca="false">F12+E13</f>
        <v>136.129447951123</v>
      </c>
      <c r="G13" s="40" t="n">
        <f aca="false">F13*D13</f>
        <v>28222.1622255008</v>
      </c>
      <c r="H13" s="41" t="n">
        <f aca="false">Assumptions!$D$22*(1+Assumptions!$F$22)^((B13-Assumptions!$C$4)/365)</f>
        <v>182.799039289737</v>
      </c>
      <c r="I13" s="42" t="n">
        <f aca="false">C13/H13</f>
        <v>16.4114648066886</v>
      </c>
      <c r="J13" s="42" t="n">
        <f aca="false">J12+I13</f>
        <v>154.167166094018</v>
      </c>
      <c r="K13" s="40" t="n">
        <f aca="false">J13*H13</f>
        <v>28181.6098520079</v>
      </c>
      <c r="L13" s="40" t="n">
        <f aca="false">L12+C13</f>
        <v>27000</v>
      </c>
    </row>
    <row r="14" customFormat="false" ht="15" hidden="false" customHeight="false" outlineLevel="0" collapsed="false">
      <c r="A14" s="38" t="n">
        <v>10</v>
      </c>
      <c r="B14" s="39" t="n">
        <f aca="false">EDATE(B13,1)</f>
        <v>45931</v>
      </c>
      <c r="C14" s="40" t="n">
        <f aca="false">Assumptions!$C$6+(YEAR(B14)-YEAR(Assumptions!$C$4))*Assumptions!$C$7</f>
        <v>3000</v>
      </c>
      <c r="D14" s="41" t="n">
        <f aca="false">Assumptions!$D$21*(1+Assumptions!$F$21)^((B14-Assumptions!$C$4)/365)</f>
        <v>209.563340050403</v>
      </c>
      <c r="E14" s="42" t="n">
        <f aca="false">C14/D14</f>
        <v>14.3154809389775</v>
      </c>
      <c r="F14" s="42" t="n">
        <f aca="false">F13+E14</f>
        <v>150.444928890101</v>
      </c>
      <c r="G14" s="40" t="n">
        <f aca="false">F14*D14</f>
        <v>31527.7417918549</v>
      </c>
      <c r="H14" s="41" t="n">
        <f aca="false">Assumptions!$D$22*(1+Assumptions!$F$22)^((B14-Assumptions!$C$4)/365)</f>
        <v>184.714252227583</v>
      </c>
      <c r="I14" s="42" t="n">
        <f aca="false">C14/H14</f>
        <v>16.2413022483168</v>
      </c>
      <c r="J14" s="42" t="n">
        <f aca="false">J13+I14</f>
        <v>170.408468342335</v>
      </c>
      <c r="K14" s="40" t="n">
        <f aca="false">J14*H14</f>
        <v>31476.8728031021</v>
      </c>
      <c r="L14" s="40" t="n">
        <f aca="false">L13+C14</f>
        <v>30000</v>
      </c>
    </row>
    <row r="15" customFormat="false" ht="15" hidden="false" customHeight="false" outlineLevel="0" collapsed="false">
      <c r="A15" s="38" t="n">
        <v>11</v>
      </c>
      <c r="B15" s="39" t="n">
        <f aca="false">EDATE(B14,1)</f>
        <v>45962</v>
      </c>
      <c r="C15" s="40" t="n">
        <f aca="false">Assumptions!$C$6+(YEAR(B15)-YEAR(Assumptions!$C$4))*Assumptions!$C$7</f>
        <v>3000</v>
      </c>
      <c r="D15" s="41" t="n">
        <f aca="false">Assumptions!$D$21*(1+Assumptions!$F$21)^((B15-Assumptions!$C$4)/365)</f>
        <v>211.908475173855</v>
      </c>
      <c r="E15" s="42" t="n">
        <f aca="false">C15/D15</f>
        <v>14.1570552925678</v>
      </c>
      <c r="F15" s="42" t="n">
        <f aca="false">F14+E15</f>
        <v>164.601984182668</v>
      </c>
      <c r="G15" s="40" t="n">
        <f aca="false">F15*D15</f>
        <v>34880.5554787403</v>
      </c>
      <c r="H15" s="41" t="n">
        <f aca="false">Assumptions!$D$22*(1+Assumptions!$F$22)^((B15-Assumptions!$C$4)/365)</f>
        <v>186.714388464005</v>
      </c>
      <c r="I15" s="42" t="n">
        <f aca="false">C15/H15</f>
        <v>16.067320920896</v>
      </c>
      <c r="J15" s="42" t="n">
        <f aca="false">J14+I15</f>
        <v>186.475789263231</v>
      </c>
      <c r="K15" s="40" t="n">
        <f aca="false">J15*H15</f>
        <v>34817.7129556268</v>
      </c>
      <c r="L15" s="40" t="n">
        <f aca="false">L14+C15</f>
        <v>33000</v>
      </c>
    </row>
    <row r="16" customFormat="false" ht="15" hidden="false" customHeight="false" outlineLevel="0" collapsed="false">
      <c r="A16" s="38" t="n">
        <v>12</v>
      </c>
      <c r="B16" s="39" t="n">
        <f aca="false">EDATE(B15,1)</f>
        <v>45992</v>
      </c>
      <c r="C16" s="40" t="n">
        <f aca="false">Assumptions!$C$6+(YEAR(B16)-YEAR(Assumptions!$C$4))*Assumptions!$C$7</f>
        <v>3000</v>
      </c>
      <c r="D16" s="41" t="n">
        <f aca="false">Assumptions!$D$21*(1+Assumptions!$F$21)^((B16-Assumptions!$C$4)/365)</f>
        <v>214.202945010467</v>
      </c>
      <c r="E16" s="42" t="n">
        <f aca="false">C16/D16</f>
        <v>14.005409682175</v>
      </c>
      <c r="F16" s="42" t="n">
        <f aca="false">F15+E16</f>
        <v>178.607393864843</v>
      </c>
      <c r="G16" s="40" t="n">
        <f aca="false">F16*D16</f>
        <v>38258.2297664939</v>
      </c>
      <c r="H16" s="41" t="n">
        <f aca="false">Assumptions!$D$22*(1+Assumptions!$F$22)^((B16-Assumptions!$C$4)/365)</f>
        <v>188.670623102095</v>
      </c>
      <c r="I16" s="42" t="n">
        <f aca="false">C16/H16</f>
        <v>15.9007266243915</v>
      </c>
      <c r="J16" s="42" t="n">
        <f aca="false">J15+I16</f>
        <v>202.376515887623</v>
      </c>
      <c r="K16" s="40" t="n">
        <f aca="false">J16*H16</f>
        <v>38182.5033537487</v>
      </c>
      <c r="L16" s="40" t="n">
        <f aca="false">L15+C16</f>
        <v>36000</v>
      </c>
    </row>
    <row r="17" customFormat="false" ht="15" hidden="false" customHeight="false" outlineLevel="0" collapsed="false">
      <c r="A17" s="33" t="n">
        <v>13</v>
      </c>
      <c r="B17" s="34" t="n">
        <f aca="false">EDATE(B16,1)</f>
        <v>46023</v>
      </c>
      <c r="C17" s="35" t="n">
        <f aca="false">Assumptions!$C$6+(YEAR(B17)-YEAR(Assumptions!$C$4))*Assumptions!$C$7</f>
        <v>4000</v>
      </c>
      <c r="D17" s="36" t="n">
        <f aca="false">Assumptions!$D$21*(1+Assumptions!$F$21)^((B17-Assumptions!$C$4)/365)</f>
        <v>216.6</v>
      </c>
      <c r="E17" s="37" t="n">
        <f aca="false">C17/D17</f>
        <v>18.4672206832872</v>
      </c>
      <c r="F17" s="37" t="n">
        <f aca="false">F16+E17</f>
        <v>197.074614548131</v>
      </c>
      <c r="G17" s="35" t="n">
        <f aca="false">F17*D17</f>
        <v>42686.3615111251</v>
      </c>
      <c r="H17" s="36" t="n">
        <f aca="false">Assumptions!$D$22*(1+Assumptions!$F$22)^((B17-Assumptions!$C$4)/365)</f>
        <v>190.7136</v>
      </c>
      <c r="I17" s="37" t="n">
        <f aca="false">C17/H17</f>
        <v>20.9738581831605</v>
      </c>
      <c r="J17" s="37" t="n">
        <f aca="false">J16+I17</f>
        <v>223.350374070783</v>
      </c>
      <c r="K17" s="35" t="n">
        <f aca="false">J17*H17</f>
        <v>42595.9539003857</v>
      </c>
      <c r="L17" s="35" t="n">
        <f aca="false">L16+C17</f>
        <v>40000</v>
      </c>
    </row>
    <row r="18" customFormat="false" ht="15" hidden="false" customHeight="false" outlineLevel="0" collapsed="false">
      <c r="A18" s="33" t="n">
        <v>14</v>
      </c>
      <c r="B18" s="34" t="n">
        <f aca="false">EDATE(B17,1)</f>
        <v>46054</v>
      </c>
      <c r="C18" s="35" t="n">
        <f aca="false">Assumptions!$C$6+(YEAR(B18)-YEAR(Assumptions!$C$4))*Assumptions!$C$7</f>
        <v>4000</v>
      </c>
      <c r="D18" s="36" t="n">
        <f aca="false">Assumptions!$D$21*(1+Assumptions!$F$21)^((B18-Assumptions!$C$4)/365)</f>
        <v>219.023879422888</v>
      </c>
      <c r="E18" s="37" t="n">
        <f aca="false">C18/D18</f>
        <v>18.2628488297245</v>
      </c>
      <c r="F18" s="37" t="n">
        <f aca="false">F17+E18</f>
        <v>215.337463377855</v>
      </c>
      <c r="G18" s="35" t="n">
        <f aca="false">F18*D18</f>
        <v>47164.0466141018</v>
      </c>
      <c r="H18" s="36" t="n">
        <f aca="false">Assumptions!$D$22*(1+Assumptions!$F$22)^((B18-Assumptions!$C$4)/365)</f>
        <v>192.778698808231</v>
      </c>
      <c r="I18" s="37" t="n">
        <f aca="false">C18/H18</f>
        <v>20.7491804059693</v>
      </c>
      <c r="J18" s="37" t="n">
        <f aca="false">J17+I18</f>
        <v>244.099554476752</v>
      </c>
      <c r="K18" s="35" t="n">
        <f aca="false">J18*H18</f>
        <v>47057.1944916973</v>
      </c>
      <c r="L18" s="35" t="n">
        <f aca="false">L17+C18</f>
        <v>44000</v>
      </c>
    </row>
    <row r="19" customFormat="false" ht="15" hidden="false" customHeight="false" outlineLevel="0" collapsed="false">
      <c r="A19" s="33" t="n">
        <v>15</v>
      </c>
      <c r="B19" s="34" t="n">
        <f aca="false">EDATE(B18,1)</f>
        <v>46082</v>
      </c>
      <c r="C19" s="35" t="n">
        <f aca="false">Assumptions!$C$6+(YEAR(B19)-YEAR(Assumptions!$C$4))*Assumptions!$C$7</f>
        <v>4000</v>
      </c>
      <c r="D19" s="36" t="n">
        <f aca="false">Assumptions!$D$21*(1+Assumptions!$F$21)^((B19-Assumptions!$C$4)/365)</f>
        <v>221.236495663575</v>
      </c>
      <c r="E19" s="37" t="n">
        <f aca="false">C19/D19</f>
        <v>18.0801995981831</v>
      </c>
      <c r="F19" s="37" t="n">
        <f aca="false">F18+E19</f>
        <v>233.417662976038</v>
      </c>
      <c r="G19" s="35" t="n">
        <f aca="false">F19*D19</f>
        <v>51640.5057828</v>
      </c>
      <c r="H19" s="36" t="n">
        <f aca="false">Assumptions!$D$22*(1+Assumptions!$F$22)^((B19-Assumptions!$C$4)/365)</f>
        <v>194.663162796309</v>
      </c>
      <c r="I19" s="37" t="n">
        <f aca="false">C19/H19</f>
        <v>20.5483150614659</v>
      </c>
      <c r="J19" s="37" t="n">
        <f aca="false">J18+I19</f>
        <v>264.647869538218</v>
      </c>
      <c r="K19" s="35" t="n">
        <f aca="false">J19*H19</f>
        <v>51517.1913116146</v>
      </c>
      <c r="L19" s="35" t="n">
        <f aca="false">L18+C19</f>
        <v>48000</v>
      </c>
    </row>
    <row r="20" customFormat="false" ht="15" hidden="false" customHeight="false" outlineLevel="0" collapsed="false">
      <c r="A20" s="33" t="n">
        <v>16</v>
      </c>
      <c r="B20" s="34" t="n">
        <f aca="false">EDATE(B19,1)</f>
        <v>46113</v>
      </c>
      <c r="C20" s="35" t="n">
        <f aca="false">Assumptions!$C$6+(YEAR(B20)-YEAR(Assumptions!$C$4))*Assumptions!$C$7</f>
        <v>4000</v>
      </c>
      <c r="D20" s="36" t="n">
        <f aca="false">Assumptions!$D$21*(1+Assumptions!$F$21)^((B20-Assumptions!$C$4)/365)</f>
        <v>223.712260157715</v>
      </c>
      <c r="E20" s="37" t="n">
        <f aca="false">C20/D20</f>
        <v>17.8801108047455</v>
      </c>
      <c r="F20" s="37" t="n">
        <f aca="false">F19+E20</f>
        <v>251.297773780784</v>
      </c>
      <c r="G20" s="35" t="n">
        <f aca="false">F20*D20</f>
        <v>56218.3929451012</v>
      </c>
      <c r="H20" s="36" t="n">
        <f aca="false">Assumptions!$D$22*(1+Assumptions!$F$22)^((B20-Assumptions!$C$4)/365)</f>
        <v>196.771028546299</v>
      </c>
      <c r="I20" s="37" t="n">
        <f aca="false">C20/H20</f>
        <v>20.3281958200408</v>
      </c>
      <c r="J20" s="37" t="n">
        <f aca="false">J19+I20</f>
        <v>284.976065358259</v>
      </c>
      <c r="K20" s="35" t="n">
        <f aca="false">J20*H20</f>
        <v>56075.0334916219</v>
      </c>
      <c r="L20" s="35" t="n">
        <f aca="false">L19+C20</f>
        <v>52000</v>
      </c>
    </row>
    <row r="21" customFormat="false" ht="15" hidden="false" customHeight="false" outlineLevel="0" collapsed="false">
      <c r="A21" s="33" t="n">
        <v>17</v>
      </c>
      <c r="B21" s="34" t="n">
        <f aca="false">EDATE(B20,1)</f>
        <v>46143</v>
      </c>
      <c r="C21" s="35" t="n">
        <f aca="false">Assumptions!$C$6+(YEAR(B21)-YEAR(Assumptions!$C$4))*Assumptions!$C$7</f>
        <v>4000</v>
      </c>
      <c r="D21" s="36" t="n">
        <f aca="false">Assumptions!$D$21*(1+Assumptions!$F$21)^((B21-Assumptions!$C$4)/365)</f>
        <v>226.134537193076</v>
      </c>
      <c r="E21" s="37" t="n">
        <f aca="false">C21/D21</f>
        <v>17.6885850770542</v>
      </c>
      <c r="F21" s="37" t="n">
        <f aca="false">F20+E21</f>
        <v>268.986358857838</v>
      </c>
      <c r="G21" s="35" t="n">
        <f aca="false">F21*D21</f>
        <v>60827.1057715679</v>
      </c>
      <c r="H21" s="36" t="n">
        <f aca="false">Assumptions!$D$22*(1+Assumptions!$F$22)^((B21-Assumptions!$C$4)/365)</f>
        <v>198.832628110111</v>
      </c>
      <c r="I21" s="37" t="n">
        <f aca="false">C21/H21</f>
        <v>20.1174225680146</v>
      </c>
      <c r="J21" s="37" t="n">
        <f aca="false">J20+I21</f>
        <v>305.093487926274</v>
      </c>
      <c r="K21" s="35" t="n">
        <f aca="false">J21*H21</f>
        <v>60662.5400236614</v>
      </c>
      <c r="L21" s="35" t="n">
        <f aca="false">L20+C21</f>
        <v>56000</v>
      </c>
    </row>
    <row r="22" customFormat="false" ht="15" hidden="false" customHeight="false" outlineLevel="0" collapsed="false">
      <c r="A22" s="33" t="n">
        <v>18</v>
      </c>
      <c r="B22" s="34" t="n">
        <f aca="false">EDATE(B21,1)</f>
        <v>46174</v>
      </c>
      <c r="C22" s="35" t="n">
        <f aca="false">Assumptions!$C$6+(YEAR(B22)-YEAR(Assumptions!$C$4))*Assumptions!$C$7</f>
        <v>4000</v>
      </c>
      <c r="D22" s="36" t="n">
        <f aca="false">Assumptions!$D$21*(1+Assumptions!$F$21)^((B22-Assumptions!$C$4)/365)</f>
        <v>228.665113608157</v>
      </c>
      <c r="E22" s="37" t="n">
        <f aca="false">C22/D22</f>
        <v>17.492830178085</v>
      </c>
      <c r="F22" s="37" t="n">
        <f aca="false">F21+E22</f>
        <v>286.479189035923</v>
      </c>
      <c r="G22" s="35" t="n">
        <f aca="false">F22*D22</f>
        <v>65507.796307272</v>
      </c>
      <c r="H22" s="36" t="n">
        <f aca="false">Assumptions!$D$22*(1+Assumptions!$F$22)^((B22-Assumptions!$C$4)/365)</f>
        <v>200.985641966216</v>
      </c>
      <c r="I22" s="37" t="n">
        <f aca="false">C22/H22</f>
        <v>19.9019191663073</v>
      </c>
      <c r="J22" s="37" t="n">
        <f aca="false">J21+I22</f>
        <v>324.995407092581</v>
      </c>
      <c r="K22" s="35" t="n">
        <f aca="false">J22*H22</f>
        <v>65319.4105305741</v>
      </c>
      <c r="L22" s="35" t="n">
        <f aca="false">L21+C22</f>
        <v>60000</v>
      </c>
    </row>
    <row r="23" customFormat="false" ht="15" hidden="false" customHeight="false" outlineLevel="0" collapsed="false">
      <c r="A23" s="38" t="n">
        <v>19</v>
      </c>
      <c r="B23" s="39" t="n">
        <f aca="false">EDATE(B22,1)</f>
        <v>46204</v>
      </c>
      <c r="C23" s="40" t="n">
        <f aca="false">Assumptions!$C$6+(YEAR(B23)-YEAR(Assumptions!$C$4))*Assumptions!$C$7</f>
        <v>4000</v>
      </c>
      <c r="D23" s="41" t="n">
        <f aca="false">Assumptions!$D$21*(1+Assumptions!$F$21)^((B23-Assumptions!$C$4)/365)</f>
        <v>231.141018384636</v>
      </c>
      <c r="E23" s="42" t="n">
        <f aca="false">C23/D23</f>
        <v>17.3054528700903</v>
      </c>
      <c r="F23" s="42" t="n">
        <f aca="false">F22+E23</f>
        <v>303.784641906013</v>
      </c>
      <c r="G23" s="40" t="n">
        <f aca="false">F23*D23</f>
        <v>70217.0914997679</v>
      </c>
      <c r="H23" s="41" t="n">
        <f aca="false">Assumptions!$D$22*(1+Assumptions!$F$22)^((B23-Assumptions!$C$4)/365)</f>
        <v>203.091398666637</v>
      </c>
      <c r="I23" s="42" t="n">
        <f aca="false">C23/H23</f>
        <v>19.6955657711816</v>
      </c>
      <c r="J23" s="42" t="n">
        <f aca="false">J22+I23</f>
        <v>344.690972863763</v>
      </c>
      <c r="K23" s="40" t="n">
        <f aca="false">J23*H23</f>
        <v>70003.7717866653</v>
      </c>
      <c r="L23" s="40" t="n">
        <f aca="false">L22+C23</f>
        <v>64000</v>
      </c>
    </row>
    <row r="24" customFormat="false" ht="15" hidden="false" customHeight="false" outlineLevel="0" collapsed="false">
      <c r="A24" s="38" t="n">
        <v>20</v>
      </c>
      <c r="B24" s="39" t="n">
        <f aca="false">EDATE(B23,1)</f>
        <v>46235</v>
      </c>
      <c r="C24" s="40" t="n">
        <f aca="false">Assumptions!$C$6+(YEAR(B24)-YEAR(Assumptions!$C$4))*Assumptions!$C$7</f>
        <v>4000</v>
      </c>
      <c r="D24" s="41" t="n">
        <f aca="false">Assumptions!$D$21*(1+Assumptions!$F$21)^((B24-Assumptions!$C$4)/365)</f>
        <v>233.727620223269</v>
      </c>
      <c r="E24" s="42" t="n">
        <f aca="false">C24/D24</f>
        <v>17.113937994059</v>
      </c>
      <c r="F24" s="42" t="n">
        <f aca="false">F23+E24</f>
        <v>320.898579900072</v>
      </c>
      <c r="G24" s="40" t="n">
        <f aca="false">F24*D24</f>
        <v>75002.8614130703</v>
      </c>
      <c r="H24" s="41" t="n">
        <f aca="false">Assumptions!$D$22*(1+Assumptions!$F$22)^((B24-Assumptions!$C$4)/365)</f>
        <v>205.290527650351</v>
      </c>
      <c r="I24" s="42" t="n">
        <f aca="false">C24/H24</f>
        <v>19.4845814163075</v>
      </c>
      <c r="J24" s="42" t="n">
        <f aca="false">J23+I24</f>
        <v>364.17555428007</v>
      </c>
      <c r="K24" s="40" t="n">
        <f aca="false">J24*H24</f>
        <v>74761.7916955147</v>
      </c>
      <c r="L24" s="40" t="n">
        <f aca="false">L23+C24</f>
        <v>68000</v>
      </c>
    </row>
    <row r="25" customFormat="false" ht="15" hidden="false" customHeight="false" outlineLevel="0" collapsed="false">
      <c r="A25" s="38" t="n">
        <v>21</v>
      </c>
      <c r="B25" s="39" t="n">
        <f aca="false">EDATE(B24,1)</f>
        <v>46266</v>
      </c>
      <c r="C25" s="40" t="n">
        <f aca="false">Assumptions!$C$6+(YEAR(B25)-YEAR(Assumptions!$C$4))*Assumptions!$C$7</f>
        <v>4000</v>
      </c>
      <c r="D25" s="41" t="n">
        <f aca="false">Assumptions!$D$21*(1+Assumptions!$F$21)^((B25-Assumptions!$C$4)/365)</f>
        <v>236.343167634255</v>
      </c>
      <c r="E25" s="42" t="n">
        <f aca="false">C25/D25</f>
        <v>16.9245425625761</v>
      </c>
      <c r="F25" s="42" t="n">
        <f aca="false">F24+E25</f>
        <v>337.823122462648</v>
      </c>
      <c r="G25" s="40" t="n">
        <f aca="false">F25*D25</f>
        <v>79842.1868629172</v>
      </c>
      <c r="H25" s="41" t="n">
        <f aca="false">Assumptions!$D$22*(1+Assumptions!$F$22)^((B25-Assumptions!$C$4)/365)</f>
        <v>207.51346940171</v>
      </c>
      <c r="I25" s="42" t="n">
        <f aca="false">C25/H25</f>
        <v>19.2758571842713</v>
      </c>
      <c r="J25" s="42" t="n">
        <f aca="false">J24+I25</f>
        <v>383.451411464341</v>
      </c>
      <c r="K25" s="40" t="n">
        <f aca="false">J25*H25</f>
        <v>79571.332739948</v>
      </c>
      <c r="L25" s="40" t="n">
        <f aca="false">L24+C25</f>
        <v>72000</v>
      </c>
    </row>
    <row r="26" customFormat="false" ht="15" hidden="false" customHeight="false" outlineLevel="0" collapsed="false">
      <c r="A26" s="38" t="n">
        <v>22</v>
      </c>
      <c r="B26" s="39" t="n">
        <f aca="false">EDATE(B25,1)</f>
        <v>46296</v>
      </c>
      <c r="C26" s="40" t="n">
        <f aca="false">Assumptions!$C$6+(YEAR(B26)-YEAR(Assumptions!$C$4))*Assumptions!$C$7</f>
        <v>4000</v>
      </c>
      <c r="D26" s="41" t="n">
        <f aca="false">Assumptions!$D$21*(1+Assumptions!$F$21)^((B26-Assumptions!$C$4)/365)</f>
        <v>238.90220765746</v>
      </c>
      <c r="E26" s="42" t="n">
        <f aca="false">C26/D26</f>
        <v>16.7432525602076</v>
      </c>
      <c r="F26" s="42" t="n">
        <f aca="false">F25+E26</f>
        <v>354.566375022856</v>
      </c>
      <c r="G26" s="40" t="n">
        <f aca="false">F26*D26</f>
        <v>84706.689754063</v>
      </c>
      <c r="H26" s="41" t="n">
        <f aca="false">Assumptions!$D$22*(1+Assumptions!$F$22)^((B26-Assumptions!$C$4)/365)</f>
        <v>209.687619128752</v>
      </c>
      <c r="I26" s="42" t="n">
        <f aca="false">C26/H26</f>
        <v>19.0759951236984</v>
      </c>
      <c r="J26" s="42" t="n">
        <f aca="false">J25+I26</f>
        <v>402.52740658804</v>
      </c>
      <c r="K26" s="40" t="n">
        <f aca="false">J26*H26</f>
        <v>84405.0135215171</v>
      </c>
      <c r="L26" s="40" t="n">
        <f aca="false">L25+C26</f>
        <v>76000</v>
      </c>
    </row>
    <row r="27" customFormat="false" ht="15" hidden="false" customHeight="false" outlineLevel="0" collapsed="false">
      <c r="A27" s="38" t="n">
        <v>23</v>
      </c>
      <c r="B27" s="39" t="n">
        <f aca="false">EDATE(B26,1)</f>
        <v>46327</v>
      </c>
      <c r="C27" s="40" t="n">
        <f aca="false">Assumptions!$C$6+(YEAR(B27)-YEAR(Assumptions!$C$4))*Assumptions!$C$7</f>
        <v>4000</v>
      </c>
      <c r="D27" s="41" t="n">
        <f aca="false">Assumptions!$D$21*(1+Assumptions!$F$21)^((B27-Assumptions!$C$4)/365)</f>
        <v>241.575661698195</v>
      </c>
      <c r="E27" s="42" t="n">
        <f aca="false">C27/D27</f>
        <v>16.557959406512</v>
      </c>
      <c r="F27" s="42" t="n">
        <f aca="false">F26+E27</f>
        <v>371.124334429368</v>
      </c>
      <c r="G27" s="40" t="n">
        <f aca="false">F27*D27</f>
        <v>89654.6066620768</v>
      </c>
      <c r="H27" s="41" t="n">
        <f aca="false">Assumptions!$D$22*(1+Assumptions!$F$22)^((B27-Assumptions!$C$4)/365)</f>
        <v>211.958173784338</v>
      </c>
      <c r="I27" s="42" t="n">
        <f aca="false">C27/H27</f>
        <v>18.8716477811792</v>
      </c>
      <c r="J27" s="42" t="n">
        <f aca="false">J26+I27</f>
        <v>421.399054369219</v>
      </c>
      <c r="K27" s="40" t="n">
        <f aca="false">J27*H27</f>
        <v>89318.9739985466</v>
      </c>
      <c r="L27" s="40" t="n">
        <f aca="false">L26+C27</f>
        <v>80000</v>
      </c>
    </row>
    <row r="28" customFormat="false" ht="15" hidden="false" customHeight="false" outlineLevel="0" collapsed="false">
      <c r="A28" s="38" t="n">
        <v>24</v>
      </c>
      <c r="B28" s="39" t="n">
        <f aca="false">EDATE(B27,1)</f>
        <v>46357</v>
      </c>
      <c r="C28" s="40" t="n">
        <f aca="false">Assumptions!$C$6+(YEAR(B28)-YEAR(Assumptions!$C$4))*Assumptions!$C$7</f>
        <v>4000</v>
      </c>
      <c r="D28" s="41" t="n">
        <f aca="false">Assumptions!$D$21*(1+Assumptions!$F$21)^((B28-Assumptions!$C$4)/365)</f>
        <v>244.191357311933</v>
      </c>
      <c r="E28" s="42" t="n">
        <f aca="false">C28/D28</f>
        <v>16.3805961195029</v>
      </c>
      <c r="F28" s="42" t="n">
        <f aca="false">F27+E28</f>
        <v>387.504930548871</v>
      </c>
      <c r="G28" s="40" t="n">
        <f aca="false">F28*D28</f>
        <v>94625.354955795</v>
      </c>
      <c r="H28" s="41" t="n">
        <f aca="false">Assumptions!$D$22*(1+Assumptions!$F$22)^((B28-Assumptions!$C$4)/365)</f>
        <v>214.178891345498</v>
      </c>
      <c r="I28" s="42" t="n">
        <f aca="false">C28/H28</f>
        <v>18.6759767728347</v>
      </c>
      <c r="J28" s="42" t="n">
        <f aca="false">J27+I28</f>
        <v>440.075031142054</v>
      </c>
      <c r="K28" s="40" t="n">
        <f aca="false">J28*H28</f>
        <v>94254.7822788405</v>
      </c>
      <c r="L28" s="40" t="n">
        <f aca="false">L27+C28</f>
        <v>84000</v>
      </c>
    </row>
    <row r="29" customFormat="false" ht="15" hidden="false" customHeight="false" outlineLevel="0" collapsed="false">
      <c r="A29" s="33" t="n">
        <v>25</v>
      </c>
      <c r="B29" s="34" t="n">
        <f aca="false">EDATE(B28,1)</f>
        <v>46388</v>
      </c>
      <c r="C29" s="35" t="n">
        <f aca="false">Assumptions!$C$6+(YEAR(B29)-YEAR(Assumptions!$C$4))*Assumptions!$C$7</f>
        <v>5000</v>
      </c>
      <c r="D29" s="36" t="n">
        <f aca="false">Assumptions!$D$21*(1+Assumptions!$F$21)^((B29-Assumptions!$C$4)/365)</f>
        <v>246.924</v>
      </c>
      <c r="E29" s="37" t="n">
        <f aca="false">C29/D29</f>
        <v>20.2491454860605</v>
      </c>
      <c r="F29" s="37" t="n">
        <f aca="false">F28+E29</f>
        <v>407.754076034931</v>
      </c>
      <c r="G29" s="35" t="n">
        <f aca="false">F29*D29</f>
        <v>100684.267470849</v>
      </c>
      <c r="H29" s="36" t="n">
        <f aca="false">Assumptions!$D$22*(1+Assumptions!$F$22)^((B29-Assumptions!$C$4)/365)</f>
        <v>216.49807872</v>
      </c>
      <c r="I29" s="37" t="n">
        <f aca="false">C29/H29</f>
        <v>23.0948931720848</v>
      </c>
      <c r="J29" s="37" t="n">
        <f aca="false">J28+I29</f>
        <v>463.169924314139</v>
      </c>
      <c r="K29" s="35" t="n">
        <f aca="false">J29*H29</f>
        <v>100275.398734899</v>
      </c>
      <c r="L29" s="35" t="n">
        <f aca="false">L28+C29</f>
        <v>89000</v>
      </c>
    </row>
    <row r="30" customFormat="false" ht="15" hidden="false" customHeight="false" outlineLevel="0" collapsed="false">
      <c r="A30" s="33" t="n">
        <v>26</v>
      </c>
      <c r="B30" s="34" t="n">
        <f aca="false">EDATE(B29,1)</f>
        <v>46419</v>
      </c>
      <c r="C30" s="35" t="n">
        <f aca="false">Assumptions!$C$6+(YEAR(B30)-YEAR(Assumptions!$C$4))*Assumptions!$C$7</f>
        <v>5000</v>
      </c>
      <c r="D30" s="36" t="n">
        <f aca="false">Assumptions!$D$21*(1+Assumptions!$F$21)^((B30-Assumptions!$C$4)/365)</f>
        <v>249.687222542092</v>
      </c>
      <c r="E30" s="37" t="n">
        <f aca="false">C30/D30</f>
        <v>20.0250535413646</v>
      </c>
      <c r="F30" s="37" t="n">
        <f aca="false">F29+E30</f>
        <v>427.779129576296</v>
      </c>
      <c r="G30" s="35" t="n">
        <f aca="false">F30*D30</f>
        <v>106810.982725379</v>
      </c>
      <c r="H30" s="36" t="n">
        <f aca="false">Assumptions!$D$22*(1+Assumptions!$F$22)^((B30-Assumptions!$C$4)/365)</f>
        <v>218.842378887104</v>
      </c>
      <c r="I30" s="37" t="n">
        <f aca="false">C30/H30</f>
        <v>22.8474942807096</v>
      </c>
      <c r="J30" s="37" t="n">
        <f aca="false">J29+I30</f>
        <v>486.017418594848</v>
      </c>
      <c r="K30" s="35" t="n">
        <f aca="false">J30*H30</f>
        <v>106361.208065866</v>
      </c>
      <c r="L30" s="35" t="n">
        <f aca="false">L29+C30</f>
        <v>94000</v>
      </c>
    </row>
    <row r="31" customFormat="false" ht="15" hidden="false" customHeight="false" outlineLevel="0" collapsed="false">
      <c r="A31" s="33" t="n">
        <v>27</v>
      </c>
      <c r="B31" s="34" t="n">
        <f aca="false">EDATE(B30,1)</f>
        <v>46447</v>
      </c>
      <c r="C31" s="35" t="n">
        <f aca="false">Assumptions!$C$6+(YEAR(B31)-YEAR(Assumptions!$C$4))*Assumptions!$C$7</f>
        <v>5000</v>
      </c>
      <c r="D31" s="36" t="n">
        <f aca="false">Assumptions!$D$21*(1+Assumptions!$F$21)^((B31-Assumptions!$C$4)/365)</f>
        <v>252.209605056475</v>
      </c>
      <c r="E31" s="37" t="n">
        <f aca="false">C31/D31</f>
        <v>19.8247802611657</v>
      </c>
      <c r="F31" s="37" t="n">
        <f aca="false">F30+E31</f>
        <v>447.603909837461</v>
      </c>
      <c r="G31" s="35" t="n">
        <f aca="false">F31*D31</f>
        <v>112890.00532184</v>
      </c>
      <c r="H31" s="36" t="n">
        <f aca="false">Assumptions!$D$22*(1+Assumptions!$F$22)^((B31-Assumptions!$C$4)/365)</f>
        <v>220.98162240637</v>
      </c>
      <c r="I31" s="37" t="n">
        <f aca="false">C31/H31</f>
        <v>22.6263159151096</v>
      </c>
      <c r="J31" s="37" t="n">
        <f aca="false">J30+I31</f>
        <v>508.643734509958</v>
      </c>
      <c r="K31" s="35" t="n">
        <f aca="false">J31*H31</f>
        <v>112400.917678846</v>
      </c>
      <c r="L31" s="35" t="n">
        <f aca="false">L30+C31</f>
        <v>99000</v>
      </c>
    </row>
    <row r="32" customFormat="false" ht="15" hidden="false" customHeight="false" outlineLevel="0" collapsed="false">
      <c r="A32" s="33" t="n">
        <v>28</v>
      </c>
      <c r="B32" s="34" t="n">
        <f aca="false">EDATE(B31,1)</f>
        <v>46478</v>
      </c>
      <c r="C32" s="35" t="n">
        <f aca="false">Assumptions!$C$6+(YEAR(B32)-YEAR(Assumptions!$C$4))*Assumptions!$C$7</f>
        <v>5000</v>
      </c>
      <c r="D32" s="36" t="n">
        <f aca="false">Assumptions!$D$21*(1+Assumptions!$F$21)^((B32-Assumptions!$C$4)/365)</f>
        <v>255.031976579795</v>
      </c>
      <c r="E32" s="37" t="n">
        <f aca="false">C32/D32</f>
        <v>19.6053846543263</v>
      </c>
      <c r="F32" s="37" t="n">
        <f aca="false">F31+E32</f>
        <v>467.209294491788</v>
      </c>
      <c r="G32" s="35" t="n">
        <f aca="false">F32*D32</f>
        <v>119153.309850692</v>
      </c>
      <c r="H32" s="36" t="n">
        <f aca="false">Assumptions!$D$22*(1+Assumptions!$F$22)^((B32-Assumptions!$C$4)/365)</f>
        <v>223.374471605758</v>
      </c>
      <c r="I32" s="37" t="n">
        <f aca="false">C32/H32</f>
        <v>22.3839365530752</v>
      </c>
      <c r="J32" s="37" t="n">
        <f aca="false">J31+I32</f>
        <v>531.027671063033</v>
      </c>
      <c r="K32" s="35" t="n">
        <f aca="false">J32*H32</f>
        <v>118618.025431741</v>
      </c>
      <c r="L32" s="35" t="n">
        <f aca="false">L31+C32</f>
        <v>104000</v>
      </c>
    </row>
    <row r="33" customFormat="false" ht="15" hidden="false" customHeight="false" outlineLevel="0" collapsed="false">
      <c r="A33" s="33" t="n">
        <v>29</v>
      </c>
      <c r="B33" s="34" t="n">
        <f aca="false">EDATE(B32,1)</f>
        <v>46508</v>
      </c>
      <c r="C33" s="35" t="n">
        <f aca="false">Assumptions!$C$6+(YEAR(B33)-YEAR(Assumptions!$C$4))*Assumptions!$C$7</f>
        <v>5000</v>
      </c>
      <c r="D33" s="36" t="n">
        <f aca="false">Assumptions!$D$21*(1+Assumptions!$F$21)^((B33-Assumptions!$C$4)/365)</f>
        <v>257.793372400107</v>
      </c>
      <c r="E33" s="37" t="n">
        <f aca="false">C33/D33</f>
        <v>19.3953783739629</v>
      </c>
      <c r="F33" s="37" t="n">
        <f aca="false">F32+E33</f>
        <v>486.604672865751</v>
      </c>
      <c r="G33" s="35" t="n">
        <f aca="false">F33*D33</f>
        <v>125443.459643713</v>
      </c>
      <c r="H33" s="36" t="n">
        <f aca="false">Assumptions!$D$22*(1+Assumptions!$F$22)^((B33-Assumptions!$C$4)/365)</f>
        <v>225.714799430598</v>
      </c>
      <c r="I33" s="37" t="n">
        <f aca="false">C33/H33</f>
        <v>22.1518483174932</v>
      </c>
      <c r="J33" s="37" t="n">
        <f aca="false">J32+I33</f>
        <v>553.179519380526</v>
      </c>
      <c r="K33" s="35" t="n">
        <f aca="false">J33*H33</f>
        <v>124860.80426609</v>
      </c>
      <c r="L33" s="35" t="n">
        <f aca="false">L32+C33</f>
        <v>109000</v>
      </c>
    </row>
    <row r="34" customFormat="false" ht="15" hidden="false" customHeight="false" outlineLevel="0" collapsed="false">
      <c r="A34" s="33" t="n">
        <v>30</v>
      </c>
      <c r="B34" s="34" t="n">
        <f aca="false">EDATE(B33,1)</f>
        <v>46539</v>
      </c>
      <c r="C34" s="35" t="n">
        <f aca="false">Assumptions!$C$6+(YEAR(B34)-YEAR(Assumptions!$C$4))*Assumptions!$C$7</f>
        <v>5000</v>
      </c>
      <c r="D34" s="36" t="n">
        <f aca="false">Assumptions!$D$21*(1+Assumptions!$F$21)^((B34-Assumptions!$C$4)/365)</f>
        <v>260.678229513299</v>
      </c>
      <c r="E34" s="37" t="n">
        <f aca="false">C34/D34</f>
        <v>19.1807348443914</v>
      </c>
      <c r="F34" s="37" t="n">
        <f aca="false">F33+E34</f>
        <v>505.785407710142</v>
      </c>
      <c r="G34" s="35" t="n">
        <f aca="false">F34*D34</f>
        <v>131847.244595542</v>
      </c>
      <c r="H34" s="36" t="n">
        <f aca="false">Assumptions!$D$22*(1+Assumptions!$F$22)^((B34-Assumptions!$C$4)/365)</f>
        <v>228.158900760048</v>
      </c>
      <c r="I34" s="37" t="n">
        <f aca="false">C34/H34</f>
        <v>21.9145515837597</v>
      </c>
      <c r="J34" s="37" t="n">
        <f aca="false">J33+I34</f>
        <v>575.094070964286</v>
      </c>
      <c r="K34" s="35" t="n">
        <f aca="false">J34*H34</f>
        <v>131212.831064833</v>
      </c>
      <c r="L34" s="35" t="n">
        <f aca="false">L33+C34</f>
        <v>114000</v>
      </c>
    </row>
    <row r="35" customFormat="false" ht="15" hidden="false" customHeight="false" outlineLevel="0" collapsed="false">
      <c r="A35" s="38" t="n">
        <v>31</v>
      </c>
      <c r="B35" s="39" t="n">
        <f aca="false">EDATE(B34,1)</f>
        <v>46569</v>
      </c>
      <c r="C35" s="40" t="n">
        <f aca="false">Assumptions!$C$6+(YEAR(B35)-YEAR(Assumptions!$C$4))*Assumptions!$C$7</f>
        <v>5000</v>
      </c>
      <c r="D35" s="41" t="n">
        <f aca="false">Assumptions!$D$21*(1+Assumptions!$F$21)^((B35-Assumptions!$C$4)/365)</f>
        <v>263.500760958485</v>
      </c>
      <c r="E35" s="42" t="n">
        <f aca="false">C35/D35</f>
        <v>18.9752772698359</v>
      </c>
      <c r="F35" s="42" t="n">
        <f aca="false">F34+E35</f>
        <v>524.760684979978</v>
      </c>
      <c r="G35" s="40" t="n">
        <f aca="false">F35*D35</f>
        <v>138274.83981332</v>
      </c>
      <c r="H35" s="41" t="n">
        <f aca="false">Assumptions!$D$22*(1+Assumptions!$F$22)^((B35-Assumptions!$C$4)/365)</f>
        <v>230.549355766366</v>
      </c>
      <c r="I35" s="42" t="n">
        <f aca="false">C35/H35</f>
        <v>21.6873301743983</v>
      </c>
      <c r="J35" s="42" t="n">
        <f aca="false">J34+I35</f>
        <v>596.781401138684</v>
      </c>
      <c r="K35" s="40" t="n">
        <f aca="false">J35*H35</f>
        <v>137587.567565873</v>
      </c>
      <c r="L35" s="40" t="n">
        <f aca="false">L34+C35</f>
        <v>119000</v>
      </c>
    </row>
    <row r="36" customFormat="false" ht="15" hidden="false" customHeight="false" outlineLevel="0" collapsed="false">
      <c r="A36" s="38" t="n">
        <v>32</v>
      </c>
      <c r="B36" s="39" t="n">
        <f aca="false">EDATE(B35,1)</f>
        <v>46600</v>
      </c>
      <c r="C36" s="40" t="n">
        <f aca="false">Assumptions!$C$6+(YEAR(B36)-YEAR(Assumptions!$C$4))*Assumptions!$C$7</f>
        <v>5000</v>
      </c>
      <c r="D36" s="41" t="n">
        <f aca="false">Assumptions!$D$21*(1+Assumptions!$F$21)^((B36-Assumptions!$C$4)/365)</f>
        <v>266.449487054526</v>
      </c>
      <c r="E36" s="42" t="n">
        <f aca="false">C36/D36</f>
        <v>18.7652828882226</v>
      </c>
      <c r="F36" s="42" t="n">
        <f aca="false">F35+E36</f>
        <v>543.5259678682</v>
      </c>
      <c r="G36" s="40" t="n">
        <f aca="false">F36*D36</f>
        <v>144822.215339297</v>
      </c>
      <c r="H36" s="41" t="n">
        <f aca="false">Assumptions!$D$22*(1+Assumptions!$F$22)^((B36-Assumptions!$C$4)/365)</f>
        <v>233.045806988679</v>
      </c>
      <c r="I36" s="42" t="n">
        <f aca="false">C36/H36</f>
        <v>21.4550094876537</v>
      </c>
      <c r="J36" s="42" t="n">
        <f aca="false">J35+I36</f>
        <v>618.236410626338</v>
      </c>
      <c r="K36" s="40" t="n">
        <f aca="false">J36*H36</f>
        <v>144077.403224199</v>
      </c>
      <c r="L36" s="40" t="n">
        <f aca="false">L35+C36</f>
        <v>124000</v>
      </c>
    </row>
    <row r="37" customFormat="false" ht="15" hidden="false" customHeight="false" outlineLevel="0" collapsed="false">
      <c r="A37" s="38" t="n">
        <v>33</v>
      </c>
      <c r="B37" s="39" t="n">
        <f aca="false">EDATE(B36,1)</f>
        <v>46631</v>
      </c>
      <c r="C37" s="40" t="n">
        <f aca="false">Assumptions!$C$6+(YEAR(B37)-YEAR(Assumptions!$C$4))*Assumptions!$C$7</f>
        <v>5000</v>
      </c>
      <c r="D37" s="41" t="n">
        <f aca="false">Assumptions!$D$21*(1+Assumptions!$F$21)^((B37-Assumptions!$C$4)/365)</f>
        <v>269.431211103051</v>
      </c>
      <c r="E37" s="42" t="n">
        <f aca="false">C37/D37</f>
        <v>18.557612458965</v>
      </c>
      <c r="F37" s="42" t="n">
        <f aca="false">F36+E37</f>
        <v>562.083580327165</v>
      </c>
      <c r="G37" s="40" t="n">
        <f aca="false">F37*D37</f>
        <v>151442.859788687</v>
      </c>
      <c r="H37" s="41" t="n">
        <f aca="false">Assumptions!$D$22*(1+Assumptions!$F$22)^((B37-Assumptions!$C$4)/365)</f>
        <v>235.569290464821</v>
      </c>
      <c r="I37" s="42" t="n">
        <f aca="false">C37/H37</f>
        <v>21.2251774844425</v>
      </c>
      <c r="J37" s="42" t="n">
        <f aca="false">J36+I37</f>
        <v>639.46158811078</v>
      </c>
      <c r="K37" s="40" t="n">
        <f aca="false">J37*H37</f>
        <v>150637.512590764</v>
      </c>
      <c r="L37" s="40" t="n">
        <f aca="false">L36+C37</f>
        <v>129000</v>
      </c>
    </row>
    <row r="38" customFormat="false" ht="15" hidden="false" customHeight="false" outlineLevel="0" collapsed="false">
      <c r="A38" s="38" t="n">
        <v>34</v>
      </c>
      <c r="B38" s="39" t="n">
        <f aca="false">EDATE(B37,1)</f>
        <v>46661</v>
      </c>
      <c r="C38" s="40" t="n">
        <f aca="false">Assumptions!$C$6+(YEAR(B38)-YEAR(Assumptions!$C$4))*Assumptions!$C$7</f>
        <v>5000</v>
      </c>
      <c r="D38" s="41" t="n">
        <f aca="false">Assumptions!$D$21*(1+Assumptions!$F$21)^((B38-Assumptions!$C$4)/365)</f>
        <v>272.348516729504</v>
      </c>
      <c r="E38" s="42" t="n">
        <f aca="false">C38/D38</f>
        <v>18.3588295616311</v>
      </c>
      <c r="F38" s="42" t="n">
        <f aca="false">F37+E38</f>
        <v>580.442409888796</v>
      </c>
      <c r="G38" s="40" t="n">
        <f aca="false">F38*D38</f>
        <v>158082.629380112</v>
      </c>
      <c r="H38" s="41" t="n">
        <f aca="false">Assumptions!$D$22*(1+Assumptions!$F$22)^((B38-Assumptions!$C$4)/365)</f>
        <v>238.037385234959</v>
      </c>
      <c r="I38" s="42" t="n">
        <f aca="false">C38/H38</f>
        <v>21.0051038624234</v>
      </c>
      <c r="J38" s="42" t="n">
        <f aca="false">J37+I38</f>
        <v>660.466691973204</v>
      </c>
      <c r="K38" s="40" t="n">
        <f aca="false">J38*H38</f>
        <v>157215.764392085</v>
      </c>
      <c r="L38" s="40" t="n">
        <f aca="false">L37+C38</f>
        <v>134000</v>
      </c>
    </row>
    <row r="39" customFormat="false" ht="15" hidden="false" customHeight="false" outlineLevel="0" collapsed="false">
      <c r="A39" s="38" t="n">
        <v>35</v>
      </c>
      <c r="B39" s="39" t="n">
        <f aca="false">EDATE(B38,1)</f>
        <v>46692</v>
      </c>
      <c r="C39" s="40" t="n">
        <f aca="false">Assumptions!$C$6+(YEAR(B39)-YEAR(Assumptions!$C$4))*Assumptions!$C$7</f>
        <v>5000</v>
      </c>
      <c r="D39" s="41" t="n">
        <f aca="false">Assumptions!$D$21*(1+Assumptions!$F$21)^((B39-Assumptions!$C$4)/365)</f>
        <v>275.396254335943</v>
      </c>
      <c r="E39" s="42" t="n">
        <f aca="false">C39/D39</f>
        <v>18.1556572439825</v>
      </c>
      <c r="F39" s="42" t="n">
        <f aca="false">F38+E39</f>
        <v>598.598067132779</v>
      </c>
      <c r="G39" s="40" t="n">
        <f aca="false">F39*D39</f>
        <v>164851.665541102</v>
      </c>
      <c r="H39" s="41" t="n">
        <f aca="false">Assumptions!$D$22*(1+Assumptions!$F$22)^((B39-Assumptions!$C$4)/365)</f>
        <v>240.614918879981</v>
      </c>
      <c r="I39" s="42" t="n">
        <f aca="false">C39/H39</f>
        <v>20.7800913728629</v>
      </c>
      <c r="J39" s="42" t="n">
        <f aca="false">J38+I39</f>
        <v>681.246783346067</v>
      </c>
      <c r="K39" s="40" t="n">
        <f aca="false">J39*H39</f>
        <v>163918.139512062</v>
      </c>
      <c r="L39" s="40" t="n">
        <f aca="false">L38+C39</f>
        <v>139000</v>
      </c>
    </row>
    <row r="40" customFormat="false" ht="15" hidden="false" customHeight="false" outlineLevel="0" collapsed="false">
      <c r="A40" s="38" t="n">
        <v>36</v>
      </c>
      <c r="B40" s="39" t="n">
        <f aca="false">EDATE(B39,1)</f>
        <v>46722</v>
      </c>
      <c r="C40" s="40" t="n">
        <f aca="false">Assumptions!$C$6+(YEAR(B40)-YEAR(Assumptions!$C$4))*Assumptions!$C$7</f>
        <v>5000</v>
      </c>
      <c r="D40" s="41" t="n">
        <f aca="false">Assumptions!$D$21*(1+Assumptions!$F$21)^((B40-Assumptions!$C$4)/365)</f>
        <v>278.378147335603</v>
      </c>
      <c r="E40" s="42" t="n">
        <f aca="false">C40/D40</f>
        <v>17.9611799555953</v>
      </c>
      <c r="F40" s="42" t="n">
        <f aca="false">F39+E40</f>
        <v>616.559247088374</v>
      </c>
      <c r="G40" s="40" t="n">
        <f aca="false">F40*D40</f>
        <v>171636.620927096</v>
      </c>
      <c r="H40" s="41" t="n">
        <f aca="false">Assumptions!$D$22*(1+Assumptions!$F$22)^((B40-Assumptions!$C$4)/365)</f>
        <v>243.135877455409</v>
      </c>
      <c r="I40" s="42" t="n">
        <f aca="false">C40/H40</f>
        <v>20.5646326339353</v>
      </c>
      <c r="J40" s="42" t="n">
        <f aca="false">J39+I40</f>
        <v>701.811415980002</v>
      </c>
      <c r="K40" s="40" t="n">
        <f aca="false">J40*H40</f>
        <v>170635.534432521</v>
      </c>
      <c r="L40" s="40" t="n">
        <f aca="false">L39+C40</f>
        <v>144000</v>
      </c>
    </row>
    <row r="41" customFormat="false" ht="15" hidden="false" customHeight="false" outlineLevel="0" collapsed="false">
      <c r="A41" s="33" t="n">
        <v>37</v>
      </c>
      <c r="B41" s="34" t="n">
        <f aca="false">EDATE(B40,1)</f>
        <v>46753</v>
      </c>
      <c r="C41" s="35" t="n">
        <f aca="false">Assumptions!$C$6+(YEAR(B41)-YEAR(Assumptions!$C$4))*Assumptions!$C$7</f>
        <v>6000</v>
      </c>
      <c r="D41" s="36" t="n">
        <f aca="false">Assumptions!$D$21*(1+Assumptions!$F$21)^((B41-Assumptions!$C$4)/365)</f>
        <v>281.49336</v>
      </c>
      <c r="E41" s="37" t="n">
        <f aca="false">C41/D41</f>
        <v>21.3148899853268</v>
      </c>
      <c r="F41" s="37" t="n">
        <f aca="false">F40+E41</f>
        <v>637.874137073701</v>
      </c>
      <c r="G41" s="35" t="n">
        <f aca="false">F41*D41</f>
        <v>179557.334101977</v>
      </c>
      <c r="H41" s="36" t="n">
        <f aca="false">Assumptions!$D$22*(1+Assumptions!$F$22)^((B41-Assumptions!$C$4)/365)</f>
        <v>245.768618962944</v>
      </c>
      <c r="I41" s="37" t="n">
        <f aca="false">C41/H41</f>
        <v>24.413206312986</v>
      </c>
      <c r="J41" s="37" t="n">
        <f aca="false">J40+I41</f>
        <v>726.224622292988</v>
      </c>
      <c r="K41" s="35" t="n">
        <f aca="false">J41*H41</f>
        <v>178483.222477833</v>
      </c>
      <c r="L41" s="35" t="n">
        <f aca="false">L40+C41</f>
        <v>150000</v>
      </c>
    </row>
    <row r="42" customFormat="false" ht="15" hidden="false" customHeight="false" outlineLevel="0" collapsed="false">
      <c r="A42" s="33" t="n">
        <v>38</v>
      </c>
      <c r="B42" s="34" t="n">
        <f aca="false">EDATE(B41,1)</f>
        <v>46784</v>
      </c>
      <c r="C42" s="35" t="n">
        <f aca="false">Assumptions!$C$6+(YEAR(B42)-YEAR(Assumptions!$C$4))*Assumptions!$C$7</f>
        <v>6000</v>
      </c>
      <c r="D42" s="36" t="n">
        <f aca="false">Assumptions!$D$21*(1+Assumptions!$F$21)^((B42-Assumptions!$C$4)/365)</f>
        <v>284.643433697985</v>
      </c>
      <c r="E42" s="37" t="n">
        <f aca="false">C42/D42</f>
        <v>21.0790037277522</v>
      </c>
      <c r="F42" s="37" t="n">
        <f aca="false">F41+E42</f>
        <v>658.953140801453</v>
      </c>
      <c r="G42" s="35" t="n">
        <f aca="false">F42*D42</f>
        <v>187566.684643797</v>
      </c>
      <c r="H42" s="36" t="n">
        <f aca="false">Assumptions!$D$22*(1+Assumptions!$F$22)^((B42-Assumptions!$C$4)/365)</f>
        <v>248.429868512641</v>
      </c>
      <c r="I42" s="37" t="n">
        <f aca="false">C42/H42</f>
        <v>24.1516852861624</v>
      </c>
      <c r="J42" s="37" t="n">
        <f aca="false">J41+I42</f>
        <v>750.37630757915</v>
      </c>
      <c r="K42" s="35" t="n">
        <f aca="false">J42*H42</f>
        <v>186415.887426889</v>
      </c>
      <c r="L42" s="35" t="n">
        <f aca="false">L41+C42</f>
        <v>156000</v>
      </c>
    </row>
    <row r="43" customFormat="false" ht="15" hidden="false" customHeight="false" outlineLevel="0" collapsed="false">
      <c r="A43" s="33" t="n">
        <v>39</v>
      </c>
      <c r="B43" s="34" t="n">
        <f aca="false">EDATE(B42,1)</f>
        <v>46813</v>
      </c>
      <c r="C43" s="35" t="n">
        <f aca="false">Assumptions!$C$6+(YEAR(B43)-YEAR(Assumptions!$C$4))*Assumptions!$C$7</f>
        <v>6000</v>
      </c>
      <c r="D43" s="36" t="n">
        <f aca="false">Assumptions!$D$21*(1+Assumptions!$F$21)^((B43-Assumptions!$C$4)/365)</f>
        <v>287.622182288166</v>
      </c>
      <c r="E43" s="37" t="n">
        <f aca="false">C43/D43</f>
        <v>20.8606997981424</v>
      </c>
      <c r="F43" s="37" t="n">
        <f aca="false">F42+E43</f>
        <v>679.813840599596</v>
      </c>
      <c r="G43" s="35" t="n">
        <f aca="false">F43*D43</f>
        <v>195529.540382955</v>
      </c>
      <c r="H43" s="36" t="n">
        <f aca="false">Assumptions!$D$22*(1+Assumptions!$F$22)^((B43-Assumptions!$C$4)/365)</f>
        <v>250.945506476532</v>
      </c>
      <c r="I43" s="37" t="n">
        <f aca="false">C43/H43</f>
        <v>23.9095733740947</v>
      </c>
      <c r="J43" s="37" t="n">
        <f aca="false">J42+I43</f>
        <v>774.285880953245</v>
      </c>
      <c r="K43" s="35" t="n">
        <f aca="false">J43*H43</f>
        <v>194303.56255344</v>
      </c>
      <c r="L43" s="35" t="n">
        <f aca="false">L42+C43</f>
        <v>162000</v>
      </c>
    </row>
    <row r="44" customFormat="false" ht="15" hidden="false" customHeight="false" outlineLevel="0" collapsed="false">
      <c r="A44" s="33" t="n">
        <v>40</v>
      </c>
      <c r="B44" s="34" t="n">
        <f aca="false">EDATE(B43,1)</f>
        <v>46844</v>
      </c>
      <c r="C44" s="35" t="n">
        <f aca="false">Assumptions!$C$6+(YEAR(B44)-YEAR(Assumptions!$C$4))*Assumptions!$C$7</f>
        <v>6000</v>
      </c>
      <c r="D44" s="36" t="n">
        <f aca="false">Assumptions!$D$21*(1+Assumptions!$F$21)^((B44-Assumptions!$C$4)/365)</f>
        <v>290.840841056468</v>
      </c>
      <c r="E44" s="37" t="n">
        <f aca="false">C44/D44</f>
        <v>20.6298399434042</v>
      </c>
      <c r="F44" s="37" t="n">
        <f aca="false">F43+E44</f>
        <v>700.443680543</v>
      </c>
      <c r="G44" s="35" t="n">
        <f aca="false">F44*D44</f>
        <v>203717.629161814</v>
      </c>
      <c r="H44" s="36" t="n">
        <f aca="false">Assumptions!$D$22*(1+Assumptions!$F$22)^((B44-Assumptions!$C$4)/365)</f>
        <v>253.66281277433</v>
      </c>
      <c r="I44" s="37" t="n">
        <f aca="false">C44/H44</f>
        <v>23.6534474027846</v>
      </c>
      <c r="J44" s="37" t="n">
        <f aca="false">J43+I44</f>
        <v>797.93932835603</v>
      </c>
      <c r="K44" s="35" t="n">
        <f aca="false">J44*H44</f>
        <v>202407.53445405</v>
      </c>
      <c r="L44" s="35" t="n">
        <f aca="false">L43+C44</f>
        <v>168000</v>
      </c>
    </row>
    <row r="45" customFormat="false" ht="15" hidden="false" customHeight="false" outlineLevel="0" collapsed="false">
      <c r="A45" s="33" t="n">
        <v>41</v>
      </c>
      <c r="B45" s="34" t="n">
        <f aca="false">EDATE(B44,1)</f>
        <v>46874</v>
      </c>
      <c r="C45" s="35" t="n">
        <f aca="false">Assumptions!$C$6+(YEAR(B45)-YEAR(Assumptions!$C$4))*Assumptions!$C$7</f>
        <v>6000</v>
      </c>
      <c r="D45" s="36" t="n">
        <f aca="false">Assumptions!$D$21*(1+Assumptions!$F$21)^((B45-Assumptions!$C$4)/365)</f>
        <v>293.98996256523</v>
      </c>
      <c r="E45" s="37" t="n">
        <f aca="false">C45/D45</f>
        <v>20.408860042862</v>
      </c>
      <c r="F45" s="37" t="n">
        <f aca="false">F44+E45</f>
        <v>720.852540585862</v>
      </c>
      <c r="G45" s="35" t="n">
        <f aca="false">F45*D45</f>
        <v>211923.411421888</v>
      </c>
      <c r="H45" s="36" t="n">
        <f aca="false">Assumptions!$D$22*(1+Assumptions!$F$22)^((B45-Assumptions!$C$4)/365)</f>
        <v>256.320476090085</v>
      </c>
      <c r="I45" s="37" t="n">
        <f aca="false">C45/H45</f>
        <v>23.4081962218706</v>
      </c>
      <c r="J45" s="37" t="n">
        <f aca="false">J44+I45</f>
        <v>821.347524577901</v>
      </c>
      <c r="K45" s="35" t="n">
        <f aca="false">J45*H45</f>
        <v>210528.18853522</v>
      </c>
      <c r="L45" s="35" t="n">
        <f aca="false">L44+C45</f>
        <v>174000</v>
      </c>
    </row>
    <row r="46" customFormat="false" ht="15" hidden="false" customHeight="false" outlineLevel="0" collapsed="false">
      <c r="A46" s="33" t="n">
        <v>42</v>
      </c>
      <c r="B46" s="34" t="n">
        <f aca="false">EDATE(B45,1)</f>
        <v>46905</v>
      </c>
      <c r="C46" s="35" t="n">
        <f aca="false">Assumptions!$C$6+(YEAR(B46)-YEAR(Assumptions!$C$4))*Assumptions!$C$7</f>
        <v>6000</v>
      </c>
      <c r="D46" s="36" t="n">
        <f aca="false">Assumptions!$D$21*(1+Assumptions!$F$21)^((B46-Assumptions!$C$4)/365)</f>
        <v>297.279880482115</v>
      </c>
      <c r="E46" s="37" t="n">
        <f aca="false">C46/D46</f>
        <v>20.1830005793513</v>
      </c>
      <c r="F46" s="37" t="n">
        <f aca="false">F45+E46</f>
        <v>741.035541165213</v>
      </c>
      <c r="G46" s="35" t="n">
        <f aca="false">F46*D46</f>
        <v>220294.957110594</v>
      </c>
      <c r="H46" s="36" t="n">
        <f aca="false">Assumptions!$D$22*(1+Assumptions!$F$22)^((B46-Assumptions!$C$4)/365)</f>
        <v>259.095984022917</v>
      </c>
      <c r="I46" s="37" t="n">
        <f aca="false">C46/H46</f>
        <v>23.1574411414625</v>
      </c>
      <c r="J46" s="37" t="n">
        <f aca="false">J45+I46</f>
        <v>844.504965719363</v>
      </c>
      <c r="K46" s="35" t="n">
        <f aca="false">J46*H46</f>
        <v>218807.845105298</v>
      </c>
      <c r="L46" s="35" t="n">
        <f aca="false">L45+C46</f>
        <v>180000</v>
      </c>
    </row>
    <row r="47" customFormat="false" ht="15" hidden="false" customHeight="false" outlineLevel="0" collapsed="false">
      <c r="A47" s="38" t="n">
        <v>43</v>
      </c>
      <c r="B47" s="39" t="n">
        <f aca="false">EDATE(B46,1)</f>
        <v>46935</v>
      </c>
      <c r="C47" s="40" t="n">
        <f aca="false">Assumptions!$C$6+(YEAR(B47)-YEAR(Assumptions!$C$4))*Assumptions!$C$7</f>
        <v>6000</v>
      </c>
      <c r="D47" s="41" t="n">
        <f aca="false">Assumptions!$D$21*(1+Assumptions!$F$21)^((B47-Assumptions!$C$4)/365)</f>
        <v>300.498721626804</v>
      </c>
      <c r="E47" s="42" t="n">
        <f aca="false">C47/D47</f>
        <v>19.9668070716505</v>
      </c>
      <c r="F47" s="42" t="n">
        <f aca="false">F46+E47</f>
        <v>761.002348236864</v>
      </c>
      <c r="G47" s="40" t="n">
        <f aca="false">F47*D47</f>
        <v>228680.232800173</v>
      </c>
      <c r="H47" s="41" t="n">
        <f aca="false">Assumptions!$D$22*(1+Assumptions!$F$22)^((B47-Assumptions!$C$4)/365)</f>
        <v>261.810571488324</v>
      </c>
      <c r="I47" s="42" t="n">
        <f aca="false">C47/H47</f>
        <v>22.9173328100985</v>
      </c>
      <c r="J47" s="42" t="n">
        <f aca="false">J46+I47</f>
        <v>867.422298529461</v>
      </c>
      <c r="K47" s="40" t="n">
        <f aca="false">J47*H47</f>
        <v>227100.327699714</v>
      </c>
      <c r="L47" s="40" t="n">
        <f aca="false">L46+C47</f>
        <v>186000</v>
      </c>
    </row>
    <row r="48" customFormat="false" ht="15" hidden="false" customHeight="false" outlineLevel="0" collapsed="false">
      <c r="A48" s="38" t="n">
        <v>44</v>
      </c>
      <c r="B48" s="39" t="n">
        <f aca="false">EDATE(B47,1)</f>
        <v>46966</v>
      </c>
      <c r="C48" s="40" t="n">
        <f aca="false">Assumptions!$C$6+(YEAR(B48)-YEAR(Assumptions!$C$4))*Assumptions!$C$7</f>
        <v>6000</v>
      </c>
      <c r="D48" s="41" t="n">
        <f aca="false">Assumptions!$D$21*(1+Assumptions!$F$21)^((B48-Assumptions!$C$4)/365)</f>
        <v>303.861476326504</v>
      </c>
      <c r="E48" s="42" t="n">
        <f aca="false">C48/D48</f>
        <v>19.745839691613</v>
      </c>
      <c r="F48" s="42" t="n">
        <f aca="false">F47+E48</f>
        <v>780.748187928477</v>
      </c>
      <c r="G48" s="40" t="n">
        <f aca="false">F48*D48</f>
        <v>237239.29702319</v>
      </c>
      <c r="H48" s="41" t="n">
        <f aca="false">Assumptions!$D$22*(1+Assumptions!$F$22)^((B48-Assumptions!$C$4)/365)</f>
        <v>264.645527669545</v>
      </c>
      <c r="I48" s="42" t="n">
        <f aca="false">C48/H48</f>
        <v>22.6718359944931</v>
      </c>
      <c r="J48" s="42" t="n">
        <f aca="false">J47+I48</f>
        <v>890.094134523955</v>
      </c>
      <c r="K48" s="40" t="n">
        <f aca="false">J48*H48</f>
        <v>235559.431906659</v>
      </c>
      <c r="L48" s="40" t="n">
        <f aca="false">L47+C48</f>
        <v>192000</v>
      </c>
    </row>
    <row r="49" customFormat="false" ht="15" hidden="false" customHeight="false" outlineLevel="0" collapsed="false">
      <c r="A49" s="38" t="n">
        <v>45</v>
      </c>
      <c r="B49" s="39" t="n">
        <f aca="false">EDATE(B48,1)</f>
        <v>46997</v>
      </c>
      <c r="C49" s="40" t="n">
        <f aca="false">Assumptions!$C$6+(YEAR(B49)-YEAR(Assumptions!$C$4))*Assumptions!$C$7</f>
        <v>6000</v>
      </c>
      <c r="D49" s="41" t="n">
        <f aca="false">Assumptions!$D$21*(1+Assumptions!$F$21)^((B49-Assumptions!$C$4)/365)</f>
        <v>307.261862198508</v>
      </c>
      <c r="E49" s="42" t="n">
        <f aca="false">C49/D49</f>
        <v>19.5273176992062</v>
      </c>
      <c r="F49" s="42" t="n">
        <f aca="false">F48+E49</f>
        <v>800.275505627683</v>
      </c>
      <c r="G49" s="40" t="n">
        <f aca="false">F49*D49</f>
        <v>245894.142131015</v>
      </c>
      <c r="H49" s="41" t="n">
        <f aca="false">Assumptions!$D$22*(1+Assumptions!$F$22)^((B49-Assumptions!$C$4)/365)</f>
        <v>267.511181528494</v>
      </c>
      <c r="I49" s="42" t="n">
        <f aca="false">C49/H49</f>
        <v>22.4289690087624</v>
      </c>
      <c r="J49" s="42" t="n">
        <f aca="false">J48+I49</f>
        <v>912.523103532717</v>
      </c>
      <c r="K49" s="40" t="n">
        <f aca="false">J49*H49</f>
        <v>244110.133598085</v>
      </c>
      <c r="L49" s="40" t="n">
        <f aca="false">L48+C49</f>
        <v>198000</v>
      </c>
    </row>
    <row r="50" customFormat="false" ht="15" hidden="false" customHeight="false" outlineLevel="0" collapsed="false">
      <c r="A50" s="38" t="n">
        <v>46</v>
      </c>
      <c r="B50" s="39" t="n">
        <f aca="false">EDATE(B49,1)</f>
        <v>47027</v>
      </c>
      <c r="C50" s="40" t="n">
        <f aca="false">Assumptions!$C$6+(YEAR(B50)-YEAR(Assumptions!$C$4))*Assumptions!$C$7</f>
        <v>6000</v>
      </c>
      <c r="D50" s="41" t="n">
        <f aca="false">Assumptions!$D$21*(1+Assumptions!$F$21)^((B50-Assumptions!$C$4)/365)</f>
        <v>310.588784702091</v>
      </c>
      <c r="E50" s="42" t="n">
        <f aca="false">C50/D50</f>
        <v>19.3181476457853</v>
      </c>
      <c r="F50" s="42" t="n">
        <f aca="false">F49+E50</f>
        <v>819.593653273468</v>
      </c>
      <c r="G50" s="40" t="n">
        <f aca="false">F50*D50</f>
        <v>254556.596719753</v>
      </c>
      <c r="H50" s="41" t="n">
        <f aca="false">Assumptions!$D$22*(1+Assumptions!$F$22)^((B50-Assumptions!$C$4)/365)</f>
        <v>270.313936279681</v>
      </c>
      <c r="I50" s="42" t="n">
        <f aca="false">C50/H50</f>
        <v>22.19641385338</v>
      </c>
      <c r="J50" s="42" t="n">
        <f aca="false">J49+I50</f>
        <v>934.719517386097</v>
      </c>
      <c r="K50" s="40" t="n">
        <f aca="false">J50*H50</f>
        <v>252667.71206208</v>
      </c>
      <c r="L50" s="40" t="n">
        <f aca="false">L49+C50</f>
        <v>204000</v>
      </c>
    </row>
    <row r="51" customFormat="false" ht="15" hidden="false" customHeight="false" outlineLevel="0" collapsed="false">
      <c r="A51" s="38" t="n">
        <v>47</v>
      </c>
      <c r="B51" s="39" t="n">
        <f aca="false">EDATE(B50,1)</f>
        <v>47058</v>
      </c>
      <c r="C51" s="40" t="n">
        <f aca="false">Assumptions!$C$6+(YEAR(B51)-YEAR(Assumptions!$C$4))*Assumptions!$C$7</f>
        <v>6000</v>
      </c>
      <c r="D51" s="41" t="n">
        <f aca="false">Assumptions!$D$21*(1+Assumptions!$F$21)^((B51-Assumptions!$C$4)/365)</f>
        <v>314.064453050285</v>
      </c>
      <c r="E51" s="42" t="n">
        <f aca="false">C51/D51</f>
        <v>19.1043588082836</v>
      </c>
      <c r="F51" s="42" t="n">
        <f aca="false">F50+E51</f>
        <v>838.698012081752</v>
      </c>
      <c r="G51" s="40" t="n">
        <f aca="false">F51*D51</f>
        <v>263405.232438817</v>
      </c>
      <c r="H51" s="41" t="n">
        <f aca="false">Assumptions!$D$22*(1+Assumptions!$F$22)^((B51-Assumptions!$C$4)/365)</f>
        <v>273.240969211047</v>
      </c>
      <c r="I51" s="42" t="n">
        <f aca="false">C51/H51</f>
        <v>21.9586397212846</v>
      </c>
      <c r="J51" s="42" t="n">
        <f aca="false">J50+I51</f>
        <v>956.678157107382</v>
      </c>
      <c r="K51" s="40" t="n">
        <f aca="false">J51*H51</f>
        <v>261403.66687106</v>
      </c>
      <c r="L51" s="40" t="n">
        <f aca="false">L50+C51</f>
        <v>210000</v>
      </c>
    </row>
    <row r="52" customFormat="false" ht="15" hidden="false" customHeight="false" outlineLevel="0" collapsed="false">
      <c r="A52" s="38" t="n">
        <v>48</v>
      </c>
      <c r="B52" s="39" t="n">
        <f aca="false">EDATE(B51,1)</f>
        <v>47088</v>
      </c>
      <c r="C52" s="40" t="n">
        <f aca="false">Assumptions!$C$6+(YEAR(B52)-YEAR(Assumptions!$C$4))*Assumptions!$C$7</f>
        <v>6000</v>
      </c>
      <c r="D52" s="41" t="n">
        <f aca="false">Assumptions!$D$21*(1+Assumptions!$F$21)^((B52-Assumptions!$C$4)/365)</f>
        <v>317.465031595739</v>
      </c>
      <c r="E52" s="42" t="n">
        <f aca="false">C52/D52</f>
        <v>18.8997193481152</v>
      </c>
      <c r="F52" s="42" t="n">
        <f aca="false">F51+E52</f>
        <v>857.597731429867</v>
      </c>
      <c r="G52" s="40" t="n">
        <f aca="false">F52*D52</f>
        <v>272257.290904817</v>
      </c>
      <c r="H52" s="41" t="n">
        <f aca="false">Assumptions!$D$22*(1+Assumptions!$F$22)^((B52-Assumptions!$C$4)/365)</f>
        <v>276.103755806731</v>
      </c>
      <c r="I52" s="42" t="n">
        <f aca="false">C52/H52</f>
        <v>21.7309611833022</v>
      </c>
      <c r="J52" s="42" t="n">
        <f aca="false">J51+I52</f>
        <v>978.409118290684</v>
      </c>
      <c r="K52" s="40" t="n">
        <f aca="false">J52*H52</f>
        <v>270142.43227561</v>
      </c>
      <c r="L52" s="40" t="n">
        <f aca="false">L51+C52</f>
        <v>216000</v>
      </c>
    </row>
    <row r="53" customFormat="false" ht="15" hidden="false" customHeight="false" outlineLevel="0" collapsed="false">
      <c r="A53" s="33" t="n">
        <v>49</v>
      </c>
      <c r="B53" s="34" t="n">
        <f aca="false">EDATE(B52,1)</f>
        <v>47119</v>
      </c>
      <c r="C53" s="35" t="n">
        <f aca="false">Assumptions!$C$6+(YEAR(B53)-YEAR(Assumptions!$C$4))*Assumptions!$C$7</f>
        <v>7000</v>
      </c>
      <c r="D53" s="36" t="n">
        <f aca="false">Assumptions!$D$21*(1+Assumptions!$F$21)^((B53-Assumptions!$C$4)/365)</f>
        <v>321.017649128385</v>
      </c>
      <c r="E53" s="37" t="n">
        <f aca="false">C53/D53</f>
        <v>21.8056546704087</v>
      </c>
      <c r="F53" s="37" t="n">
        <f aca="false">F52+E53</f>
        <v>879.403386100276</v>
      </c>
      <c r="G53" s="35" t="n">
        <f aca="false">F53*D53</f>
        <v>282304.007641452</v>
      </c>
      <c r="H53" s="36" t="n">
        <f aca="false">Assumptions!$D$22*(1+Assumptions!$F$22)^((B53-Assumptions!$C$4)/365)</f>
        <v>279.093482480993</v>
      </c>
      <c r="I53" s="37" t="n">
        <f aca="false">C53/H53</f>
        <v>25.0812019606252</v>
      </c>
      <c r="J53" s="37" t="n">
        <f aca="false">J52+I53</f>
        <v>1003.49032025131</v>
      </c>
      <c r="K53" s="35" t="n">
        <f aca="false">J53*H53</f>
        <v>280067.608114905</v>
      </c>
      <c r="L53" s="35" t="n">
        <f aca="false">L52+C53</f>
        <v>223000</v>
      </c>
    </row>
    <row r="54" customFormat="false" ht="15" hidden="false" customHeight="false" outlineLevel="0" collapsed="false">
      <c r="A54" s="33" t="n">
        <v>50</v>
      </c>
      <c r="B54" s="34" t="n">
        <f aca="false">EDATE(B53,1)</f>
        <v>47150</v>
      </c>
      <c r="C54" s="35" t="n">
        <f aca="false">Assumptions!$C$6+(YEAR(B54)-YEAR(Assumptions!$C$4))*Assumptions!$C$7</f>
        <v>7000</v>
      </c>
      <c r="D54" s="36" t="n">
        <f aca="false">Assumptions!$D$21*(1+Assumptions!$F$21)^((B54-Assumptions!$C$4)/365)</f>
        <v>324.610022508376</v>
      </c>
      <c r="E54" s="37" t="n">
        <f aca="false">C54/D54</f>
        <v>21.5643372496897</v>
      </c>
      <c r="F54" s="37" t="n">
        <f aca="false">F53+E54</f>
        <v>900.967723349965</v>
      </c>
      <c r="G54" s="35" t="n">
        <f aca="false">F54*D54</f>
        <v>292463.152955953</v>
      </c>
      <c r="H54" s="36" t="n">
        <f aca="false">Assumptions!$D$22*(1+Assumptions!$F$22)^((B54-Assumptions!$C$4)/365)</f>
        <v>282.11558273004</v>
      </c>
      <c r="I54" s="37" t="n">
        <f aca="false">C54/H54</f>
        <v>24.8125251794347</v>
      </c>
      <c r="J54" s="37" t="n">
        <f aca="false">J53+I54</f>
        <v>1028.30284543074</v>
      </c>
      <c r="K54" s="35" t="n">
        <f aca="false">J54*H54</f>
        <v>290100.256461652</v>
      </c>
      <c r="L54" s="35" t="n">
        <f aca="false">L53+C54</f>
        <v>230000</v>
      </c>
    </row>
    <row r="55" customFormat="false" ht="15" hidden="false" customHeight="false" outlineLevel="0" collapsed="false">
      <c r="A55" s="33" t="n">
        <v>51</v>
      </c>
      <c r="B55" s="34" t="n">
        <f aca="false">EDATE(B54,1)</f>
        <v>47178</v>
      </c>
      <c r="C55" s="35" t="n">
        <f aca="false">Assumptions!$C$6+(YEAR(B55)-YEAR(Assumptions!$C$4))*Assumptions!$C$7</f>
        <v>7000</v>
      </c>
      <c r="D55" s="36" t="n">
        <f aca="false">Assumptions!$D$21*(1+Assumptions!$F$21)^((B55-Assumptions!$C$4)/365)</f>
        <v>327.889287808509</v>
      </c>
      <c r="E55" s="37" t="n">
        <f aca="false">C55/D55</f>
        <v>21.3486693840638</v>
      </c>
      <c r="F55" s="37" t="n">
        <f aca="false">F54+E55</f>
        <v>922.316392734029</v>
      </c>
      <c r="G55" s="35" t="n">
        <f aca="false">F55*D55</f>
        <v>302417.665147674</v>
      </c>
      <c r="H55" s="36" t="n">
        <f aca="false">Assumptions!$D$22*(1+Assumptions!$F$22)^((B55-Assumptions!$C$4)/365)</f>
        <v>284.873338952159</v>
      </c>
      <c r="I55" s="37" t="n">
        <f aca="false">C55/H55</f>
        <v>24.5723240572385</v>
      </c>
      <c r="J55" s="37" t="n">
        <f aca="false">J54+I55</f>
        <v>1052.87516948798</v>
      </c>
      <c r="K55" s="35" t="n">
        <f aca="false">J55*H55</f>
        <v>299936.065031862</v>
      </c>
      <c r="L55" s="35" t="n">
        <f aca="false">L54+C55</f>
        <v>237000</v>
      </c>
    </row>
    <row r="56" customFormat="false" ht="15" hidden="false" customHeight="false" outlineLevel="0" collapsed="false">
      <c r="A56" s="33" t="n">
        <v>52</v>
      </c>
      <c r="B56" s="34" t="n">
        <f aca="false">EDATE(B55,1)</f>
        <v>47209</v>
      </c>
      <c r="C56" s="35" t="n">
        <f aca="false">Assumptions!$C$6+(YEAR(B56)-YEAR(Assumptions!$C$4))*Assumptions!$C$7</f>
        <v>7000</v>
      </c>
      <c r="D56" s="36" t="n">
        <f aca="false">Assumptions!$D$21*(1+Assumptions!$F$21)^((B56-Assumptions!$C$4)/365)</f>
        <v>331.558558804373</v>
      </c>
      <c r="E56" s="37" t="n">
        <f aca="false">C56/D56</f>
        <v>21.1124092988055</v>
      </c>
      <c r="F56" s="37" t="n">
        <f aca="false">F55+E56</f>
        <v>943.428802032835</v>
      </c>
      <c r="G56" s="35" t="n">
        <f aca="false">F56*D56</f>
        <v>312801.893936543</v>
      </c>
      <c r="H56" s="36" t="n">
        <f aca="false">Assumptions!$D$22*(1+Assumptions!$F$22)^((B56-Assumptions!$C$4)/365)</f>
        <v>287.958025061419</v>
      </c>
      <c r="I56" s="37" t="n">
        <f aca="false">C56/H56</f>
        <v>24.3090985170737</v>
      </c>
      <c r="J56" s="37" t="n">
        <f aca="false">J55+I56</f>
        <v>1077.18426800506</v>
      </c>
      <c r="K56" s="35" t="n">
        <f aca="false">J56*H56</f>
        <v>310183.854441966</v>
      </c>
      <c r="L56" s="35" t="n">
        <f aca="false">L55+C56</f>
        <v>244000</v>
      </c>
    </row>
    <row r="57" customFormat="false" ht="15" hidden="false" customHeight="false" outlineLevel="0" collapsed="false">
      <c r="A57" s="33" t="n">
        <v>53</v>
      </c>
      <c r="B57" s="34" t="n">
        <f aca="false">EDATE(B56,1)</f>
        <v>47239</v>
      </c>
      <c r="C57" s="35" t="n">
        <f aca="false">Assumptions!$C$6+(YEAR(B57)-YEAR(Assumptions!$C$4))*Assumptions!$C$7</f>
        <v>7000</v>
      </c>
      <c r="D57" s="36" t="n">
        <f aca="false">Assumptions!$D$21*(1+Assumptions!$F$21)^((B57-Assumptions!$C$4)/365)</f>
        <v>335.148557324362</v>
      </c>
      <c r="E57" s="37" t="n">
        <f aca="false">C57/D57</f>
        <v>20.8862602777827</v>
      </c>
      <c r="F57" s="37" t="n">
        <f aca="false">F56+E57</f>
        <v>964.315062310617</v>
      </c>
      <c r="G57" s="35" t="n">
        <f aca="false">F57*D57</f>
        <v>323188.801939556</v>
      </c>
      <c r="H57" s="36" t="n">
        <f aca="false">Assumptions!$D$22*(1+Assumptions!$F$22)^((B57-Assumptions!$C$4)/365)</f>
        <v>290.975004457464</v>
      </c>
      <c r="I57" s="37" t="n">
        <f aca="false">C57/H57</f>
        <v>24.0570492061743</v>
      </c>
      <c r="J57" s="37" t="n">
        <f aca="false">J56+I57</f>
        <v>1101.24131721123</v>
      </c>
      <c r="K57" s="35" t="n">
        <f aca="false">J57*H57</f>
        <v>320433.697184282</v>
      </c>
      <c r="L57" s="35" t="n">
        <f aca="false">L56+C57</f>
        <v>251000</v>
      </c>
    </row>
    <row r="58" customFormat="false" ht="15" hidden="false" customHeight="false" outlineLevel="0" collapsed="false">
      <c r="A58" s="33" t="n">
        <v>54</v>
      </c>
      <c r="B58" s="34" t="n">
        <f aca="false">EDATE(B57,1)</f>
        <v>47270</v>
      </c>
      <c r="C58" s="35" t="n">
        <f aca="false">Assumptions!$C$6+(YEAR(B58)-YEAR(Assumptions!$C$4))*Assumptions!$C$7</f>
        <v>7000</v>
      </c>
      <c r="D58" s="36" t="n">
        <f aca="false">Assumptions!$D$21*(1+Assumptions!$F$21)^((B58-Assumptions!$C$4)/365)</f>
        <v>338.899063749611</v>
      </c>
      <c r="E58" s="37" t="n">
        <f aca="false">C58/D58</f>
        <v>20.6551175519677</v>
      </c>
      <c r="F58" s="37" t="n">
        <f aca="false">F57+E58</f>
        <v>984.970179862585</v>
      </c>
      <c r="G58" s="35" t="n">
        <f aca="false">F58*D58</f>
        <v>333805.471776716</v>
      </c>
      <c r="H58" s="36" t="n">
        <f aca="false">Assumptions!$D$22*(1+Assumptions!$F$22)^((B58-Assumptions!$C$4)/365)</f>
        <v>294.125761062815</v>
      </c>
      <c r="I58" s="37" t="n">
        <f aca="false">C58/H58</f>
        <v>23.7993434329101</v>
      </c>
      <c r="J58" s="37" t="n">
        <f aca="false">J57+I58</f>
        <v>1125.04066064414</v>
      </c>
      <c r="K58" s="35" t="n">
        <f aca="false">J58*H58</f>
        <v>330903.44053857</v>
      </c>
      <c r="L58" s="35" t="n">
        <f aca="false">L57+C58</f>
        <v>258000</v>
      </c>
    </row>
    <row r="59" customFormat="false" ht="15" hidden="false" customHeight="false" outlineLevel="0" collapsed="false">
      <c r="A59" s="38" t="n">
        <v>55</v>
      </c>
      <c r="B59" s="39" t="n">
        <f aca="false">EDATE(B58,1)</f>
        <v>47300</v>
      </c>
      <c r="C59" s="40" t="n">
        <f aca="false">Assumptions!$C$6+(YEAR(B59)-YEAR(Assumptions!$C$4))*Assumptions!$C$7</f>
        <v>7000</v>
      </c>
      <c r="D59" s="41" t="n">
        <f aca="false">Assumptions!$D$21*(1+Assumptions!$F$21)^((B59-Assumptions!$C$4)/365)</f>
        <v>342.568542654556</v>
      </c>
      <c r="E59" s="42" t="n">
        <f aca="false">C59/D59</f>
        <v>20.4338668861921</v>
      </c>
      <c r="F59" s="42" t="n">
        <f aca="false">F58+E59</f>
        <v>1005.40404674878</v>
      </c>
      <c r="G59" s="40" t="n">
        <f aca="false">F59*D59</f>
        <v>344419.799073722</v>
      </c>
      <c r="H59" s="41" t="n">
        <f aca="false">Assumptions!$D$22*(1+Assumptions!$F$22)^((B59-Assumptions!$C$4)/365)</f>
        <v>297.207360753546</v>
      </c>
      <c r="I59" s="42" t="n">
        <f aca="false">C59/H59</f>
        <v>23.5525795264695</v>
      </c>
      <c r="J59" s="42" t="n">
        <f aca="false">J58+I59</f>
        <v>1148.59324017061</v>
      </c>
      <c r="K59" s="40" t="n">
        <f aca="false">J59*H59</f>
        <v>341370.36549047</v>
      </c>
      <c r="L59" s="40" t="n">
        <f aca="false">L58+C59</f>
        <v>265000</v>
      </c>
    </row>
    <row r="60" customFormat="false" ht="15" hidden="false" customHeight="false" outlineLevel="0" collapsed="false">
      <c r="A60" s="38" t="n">
        <v>56</v>
      </c>
      <c r="B60" s="39" t="n">
        <f aca="false">EDATE(B59,1)</f>
        <v>47331</v>
      </c>
      <c r="C60" s="40" t="n">
        <f aca="false">Assumptions!$C$6+(YEAR(B60)-YEAR(Assumptions!$C$4))*Assumptions!$C$7</f>
        <v>7000</v>
      </c>
      <c r="D60" s="41" t="n">
        <f aca="false">Assumptions!$D$21*(1+Assumptions!$F$21)^((B60-Assumptions!$C$4)/365)</f>
        <v>346.402083012215</v>
      </c>
      <c r="E60" s="42" t="n">
        <f aca="false">C60/D60</f>
        <v>20.2077306785513</v>
      </c>
      <c r="F60" s="42" t="n">
        <f aca="false">F59+E60</f>
        <v>1025.61177742733</v>
      </c>
      <c r="G60" s="40" t="n">
        <f aca="false">F60*D60</f>
        <v>355274.056062687</v>
      </c>
      <c r="H60" s="41" t="n">
        <f aca="false">Assumptions!$D$22*(1+Assumptions!$F$22)^((B60-Assumptions!$C$4)/365)</f>
        <v>300.425603010467</v>
      </c>
      <c r="I60" s="42" t="n">
        <f aca="false">C60/H60</f>
        <v>23.3002777721182</v>
      </c>
      <c r="J60" s="42" t="n">
        <f aca="false">J59+I60</f>
        <v>1171.89351794273</v>
      </c>
      <c r="K60" s="40" t="n">
        <f aca="false">J60*H60</f>
        <v>352066.816792002</v>
      </c>
      <c r="L60" s="40" t="n">
        <f aca="false">L59+C60</f>
        <v>272000</v>
      </c>
    </row>
    <row r="61" customFormat="false" ht="15" hidden="false" customHeight="false" outlineLevel="0" collapsed="false">
      <c r="A61" s="38" t="n">
        <v>57</v>
      </c>
      <c r="B61" s="39" t="n">
        <f aca="false">EDATE(B60,1)</f>
        <v>47362</v>
      </c>
      <c r="C61" s="40" t="n">
        <f aca="false">Assumptions!$C$6+(YEAR(B61)-YEAR(Assumptions!$C$4))*Assumptions!$C$7</f>
        <v>7000</v>
      </c>
      <c r="D61" s="41" t="n">
        <f aca="false">Assumptions!$D$21*(1+Assumptions!$F$21)^((B61-Assumptions!$C$4)/365)</f>
        <v>350.2785229063</v>
      </c>
      <c r="E61" s="42" t="n">
        <f aca="false">C61/D61</f>
        <v>19.9840970605912</v>
      </c>
      <c r="F61" s="42" t="n">
        <f aca="false">F60+E61</f>
        <v>1045.59587448792</v>
      </c>
      <c r="G61" s="40" t="n">
        <f aca="false">F61*D61</f>
        <v>366249.778472549</v>
      </c>
      <c r="H61" s="41" t="n">
        <f aca="false">Assumptions!$D$22*(1+Assumptions!$F$22)^((B61-Assumptions!$C$4)/365)</f>
        <v>303.678693271147</v>
      </c>
      <c r="I61" s="42" t="n">
        <f aca="false">C61/H61</f>
        <v>23.0506787440299</v>
      </c>
      <c r="J61" s="42" t="n">
        <f aca="false">J60+I61</f>
        <v>1194.94419668676</v>
      </c>
      <c r="K61" s="40" t="n">
        <f aca="false">J61*H61</f>
        <v>362879.092181775</v>
      </c>
      <c r="L61" s="40" t="n">
        <f aca="false">L60+C61</f>
        <v>279000</v>
      </c>
    </row>
    <row r="62" customFormat="false" ht="15" hidden="false" customHeight="false" outlineLevel="0" collapsed="false">
      <c r="A62" s="38" t="n">
        <v>58</v>
      </c>
      <c r="B62" s="39" t="n">
        <f aca="false">EDATE(B61,1)</f>
        <v>47392</v>
      </c>
      <c r="C62" s="40" t="n">
        <f aca="false">Assumptions!$C$6+(YEAR(B62)-YEAR(Assumptions!$C$4))*Assumptions!$C$7</f>
        <v>7000</v>
      </c>
      <c r="D62" s="41" t="n">
        <f aca="false">Assumptions!$D$21*(1+Assumptions!$F$21)^((B62-Assumptions!$C$4)/365)</f>
        <v>354.071214560383</v>
      </c>
      <c r="E62" s="42" t="n">
        <f aca="false">C62/D62</f>
        <v>19.7700341404235</v>
      </c>
      <c r="F62" s="42" t="n">
        <f aca="false">F61+E62</f>
        <v>1065.36590862834</v>
      </c>
      <c r="G62" s="40" t="n">
        <f aca="false">F62*D62</f>
        <v>377215.401219264</v>
      </c>
      <c r="H62" s="41" t="n">
        <f aca="false">Assumptions!$D$22*(1+Assumptions!$F$22)^((B62-Assumptions!$C$4)/365)</f>
        <v>306.860380464694</v>
      </c>
      <c r="I62" s="42" t="n">
        <f aca="false">C62/H62</f>
        <v>22.8116773804411</v>
      </c>
      <c r="J62" s="42" t="n">
        <f aca="false">J61+I62</f>
        <v>1217.7558740672</v>
      </c>
      <c r="K62" s="40" t="n">
        <f aca="false">J62*H62</f>
        <v>373681.030829376</v>
      </c>
      <c r="L62" s="40" t="n">
        <f aca="false">L61+C62</f>
        <v>286000</v>
      </c>
    </row>
    <row r="63" customFormat="false" ht="15" hidden="false" customHeight="false" outlineLevel="0" collapsed="false">
      <c r="A63" s="38" t="n">
        <v>59</v>
      </c>
      <c r="B63" s="39" t="n">
        <f aca="false">EDATE(B62,1)</f>
        <v>47423</v>
      </c>
      <c r="C63" s="40" t="n">
        <f aca="false">Assumptions!$C$6+(YEAR(B63)-YEAR(Assumptions!$C$4))*Assumptions!$C$7</f>
        <v>7000</v>
      </c>
      <c r="D63" s="41" t="n">
        <f aca="false">Assumptions!$D$21*(1+Assumptions!$F$21)^((B63-Assumptions!$C$4)/365)</f>
        <v>358.033476477326</v>
      </c>
      <c r="E63" s="42" t="n">
        <f aca="false">C63/D63</f>
        <v>19.5512443944423</v>
      </c>
      <c r="F63" s="42" t="n">
        <f aca="false">F62+E63</f>
        <v>1084.91715302279</v>
      </c>
      <c r="G63" s="40" t="n">
        <f aca="false">F63*D63</f>
        <v>388436.659986631</v>
      </c>
      <c r="H63" s="41" t="n">
        <f aca="false">Assumptions!$D$22*(1+Assumptions!$F$22)^((B63-Assumptions!$C$4)/365)</f>
        <v>310.183148248381</v>
      </c>
      <c r="I63" s="42" t="n">
        <f aca="false">C63/H63</f>
        <v>22.5673123750576</v>
      </c>
      <c r="J63" s="42" t="n">
        <f aca="false">J62+I63</f>
        <v>1240.32318644226</v>
      </c>
      <c r="K63" s="40" t="n">
        <f aca="false">J63*H63</f>
        <v>384727.350816123</v>
      </c>
      <c r="L63" s="40" t="n">
        <f aca="false">L62+C63</f>
        <v>293000</v>
      </c>
    </row>
    <row r="64" customFormat="false" ht="15" hidden="false" customHeight="false" outlineLevel="0" collapsed="false">
      <c r="A64" s="38" t="n">
        <v>60</v>
      </c>
      <c r="B64" s="39" t="n">
        <f aca="false">EDATE(B63,1)</f>
        <v>47453</v>
      </c>
      <c r="C64" s="40" t="n">
        <f aca="false">Assumptions!$C$6+(YEAR(B64)-YEAR(Assumptions!$C$4))*Assumptions!$C$7</f>
        <v>7000</v>
      </c>
      <c r="D64" s="41" t="n">
        <f aca="false">Assumptions!$D$21*(1+Assumptions!$F$21)^((B64-Assumptions!$C$4)/365)</f>
        <v>361.910136019142</v>
      </c>
      <c r="E64" s="42" t="n">
        <f aca="false">C64/D64</f>
        <v>19.3418180463168</v>
      </c>
      <c r="F64" s="42" t="n">
        <f aca="false">F63+E64</f>
        <v>1104.2589710691</v>
      </c>
      <c r="G64" s="40" t="n">
        <f aca="false">F64*D64</f>
        <v>399642.514419977</v>
      </c>
      <c r="H64" s="41" t="n">
        <f aca="false">Assumptions!$D$22*(1+Assumptions!$F$22)^((B64-Assumptions!$C$4)/365)</f>
        <v>313.432983591801</v>
      </c>
      <c r="I64" s="42" t="n">
        <f aca="false">C64/H64</f>
        <v>22.3333228040749</v>
      </c>
      <c r="J64" s="42" t="n">
        <f aca="false">J63+I64</f>
        <v>1262.65650924633</v>
      </c>
      <c r="K64" s="40" t="n">
        <f aca="false">J64*H64</f>
        <v>395758.196944686</v>
      </c>
      <c r="L64" s="40" t="n">
        <f aca="false">L63+C64</f>
        <v>300000</v>
      </c>
    </row>
    <row r="65" customFormat="false" ht="15" hidden="false" customHeight="false" outlineLevel="0" collapsed="false">
      <c r="A65" s="33" t="n">
        <v>61</v>
      </c>
      <c r="B65" s="34" t="n">
        <f aca="false">EDATE(B64,1)</f>
        <v>47484</v>
      </c>
      <c r="C65" s="35" t="n">
        <f aca="false">Assumptions!$C$6+(YEAR(B65)-YEAR(Assumptions!$C$4))*Assumptions!$C$7</f>
        <v>8000</v>
      </c>
      <c r="D65" s="36" t="n">
        <f aca="false">Assumptions!$D$21*(1+Assumptions!$F$21)^((B65-Assumptions!$C$4)/365)</f>
        <v>365.960120006359</v>
      </c>
      <c r="E65" s="37" t="n">
        <f aca="false">C65/D65</f>
        <v>21.8603054339937</v>
      </c>
      <c r="F65" s="37" t="n">
        <f aca="false">F64+E65</f>
        <v>1126.1192765031</v>
      </c>
      <c r="G65" s="35" t="n">
        <f aca="false">F65*D65</f>
        <v>412114.745570548</v>
      </c>
      <c r="H65" s="36" t="n">
        <f aca="false">Assumptions!$D$22*(1+Assumptions!$F$22)^((B65-Assumptions!$C$4)/365)</f>
        <v>316.826921312423</v>
      </c>
      <c r="I65" s="37" t="n">
        <f aca="false">C65/H65</f>
        <v>25.2503795032973</v>
      </c>
      <c r="J65" s="37" t="n">
        <f aca="false">J64+I65</f>
        <v>1287.90688874963</v>
      </c>
      <c r="K65" s="35" t="n">
        <f aca="false">J65*H65</f>
        <v>408043.574499607</v>
      </c>
      <c r="L65" s="35" t="n">
        <f aca="false">L64+C65</f>
        <v>308000</v>
      </c>
    </row>
    <row r="66" customFormat="false" ht="15" hidden="false" customHeight="false" outlineLevel="0" collapsed="false">
      <c r="A66" s="33" t="n">
        <v>62</v>
      </c>
      <c r="B66" s="34" t="n">
        <f aca="false">EDATE(B65,1)</f>
        <v>47515</v>
      </c>
      <c r="C66" s="35" t="n">
        <f aca="false">Assumptions!$C$6+(YEAR(B66)-YEAR(Assumptions!$C$4))*Assumptions!$C$7</f>
        <v>8000</v>
      </c>
      <c r="D66" s="36" t="n">
        <f aca="false">Assumptions!$D$21*(1+Assumptions!$F$21)^((B66-Assumptions!$C$4)/365)</f>
        <v>370.055425659549</v>
      </c>
      <c r="E66" s="37" t="n">
        <f aca="false">C66/D66</f>
        <v>21.618383207709</v>
      </c>
      <c r="F66" s="37" t="n">
        <f aca="false">F65+E66</f>
        <v>1147.73765971081</v>
      </c>
      <c r="G66" s="35" t="n">
        <f aca="false">F66*D66</f>
        <v>424726.548209776</v>
      </c>
      <c r="H66" s="36" t="n">
        <f aca="false">Assumptions!$D$22*(1+Assumptions!$F$22)^((B66-Assumptions!$C$4)/365)</f>
        <v>320.257609515141</v>
      </c>
      <c r="I66" s="37" t="n">
        <f aca="false">C66/H66</f>
        <v>24.979890445419</v>
      </c>
      <c r="J66" s="37" t="n">
        <f aca="false">J65+I66</f>
        <v>1312.88677919505</v>
      </c>
      <c r="K66" s="35" t="n">
        <f aca="false">J66*H66</f>
        <v>420461.981469039</v>
      </c>
      <c r="L66" s="35" t="n">
        <f aca="false">L65+C66</f>
        <v>316000</v>
      </c>
    </row>
    <row r="67" customFormat="false" ht="15" hidden="false" customHeight="false" outlineLevel="0" collapsed="false">
      <c r="A67" s="33" t="n">
        <v>63</v>
      </c>
      <c r="B67" s="34" t="n">
        <f aca="false">EDATE(B66,1)</f>
        <v>47543</v>
      </c>
      <c r="C67" s="35" t="n">
        <f aca="false">Assumptions!$C$6+(YEAR(B67)-YEAR(Assumptions!$C$4))*Assumptions!$C$7</f>
        <v>8000</v>
      </c>
      <c r="D67" s="36" t="n">
        <f aca="false">Assumptions!$D$21*(1+Assumptions!$F$21)^((B67-Assumptions!$C$4)/365)</f>
        <v>373.7937881017</v>
      </c>
      <c r="E67" s="37" t="n">
        <f aca="false">C67/D67</f>
        <v>21.4021748211166</v>
      </c>
      <c r="F67" s="37" t="n">
        <f aca="false">F66+E67</f>
        <v>1169.13983453192</v>
      </c>
      <c r="G67" s="35" t="n">
        <f aca="false">F67*D67</f>
        <v>437017.207570282</v>
      </c>
      <c r="H67" s="36" t="n">
        <f aca="false">Assumptions!$D$22*(1+Assumptions!$F$22)^((B67-Assumptions!$C$4)/365)</f>
        <v>323.388214378491</v>
      </c>
      <c r="I67" s="37" t="n">
        <f aca="false">C67/H67</f>
        <v>24.7380691203448</v>
      </c>
      <c r="J67" s="37" t="n">
        <f aca="false">J66+I67</f>
        <v>1337.62484831539</v>
      </c>
      <c r="K67" s="35" t="n">
        <f aca="false">J67*H67</f>
        <v>432572.111205015</v>
      </c>
      <c r="L67" s="35" t="n">
        <f aca="false">L66+C67</f>
        <v>324000</v>
      </c>
    </row>
    <row r="68" customFormat="false" ht="15" hidden="false" customHeight="false" outlineLevel="0" collapsed="false">
      <c r="A68" s="33" t="n">
        <v>64</v>
      </c>
      <c r="B68" s="34" t="n">
        <f aca="false">EDATE(B67,1)</f>
        <v>47574</v>
      </c>
      <c r="C68" s="35" t="n">
        <f aca="false">Assumptions!$C$6+(YEAR(B68)-YEAR(Assumptions!$C$4))*Assumptions!$C$7</f>
        <v>8000</v>
      </c>
      <c r="D68" s="36" t="n">
        <f aca="false">Assumptions!$D$21*(1+Assumptions!$F$21)^((B68-Assumptions!$C$4)/365)</f>
        <v>377.976757036986</v>
      </c>
      <c r="E68" s="37" t="n">
        <f aca="false">C68/D68</f>
        <v>21.1653226053188</v>
      </c>
      <c r="F68" s="37" t="n">
        <f aca="false">F67+E68</f>
        <v>1190.30515713724</v>
      </c>
      <c r="G68" s="35" t="n">
        <f aca="false">F68*D68</f>
        <v>449907.683179134</v>
      </c>
      <c r="H68" s="36" t="n">
        <f aca="false">Assumptions!$D$22*(1+Assumptions!$F$22)^((B68-Assumptions!$C$4)/365)</f>
        <v>326.889950049723</v>
      </c>
      <c r="I68" s="37" t="n">
        <f aca="false">C68/H68</f>
        <v>24.4730680731639</v>
      </c>
      <c r="J68" s="37" t="n">
        <f aca="false">J67+I68</f>
        <v>1362.09791638856</v>
      </c>
      <c r="K68" s="35" t="n">
        <f aca="false">J68*H68</f>
        <v>445256.119851087</v>
      </c>
      <c r="L68" s="35" t="n">
        <f aca="false">L67+C68</f>
        <v>332000</v>
      </c>
    </row>
    <row r="69" customFormat="false" ht="15" hidden="false" customHeight="false" outlineLevel="0" collapsed="false">
      <c r="A69" s="33" t="n">
        <v>65</v>
      </c>
      <c r="B69" s="34" t="n">
        <f aca="false">EDATE(B68,1)</f>
        <v>47604</v>
      </c>
      <c r="C69" s="35" t="n">
        <f aca="false">Assumptions!$C$6+(YEAR(B69)-YEAR(Assumptions!$C$4))*Assumptions!$C$7</f>
        <v>8000</v>
      </c>
      <c r="D69" s="36" t="n">
        <f aca="false">Assumptions!$D$21*(1+Assumptions!$F$21)^((B69-Assumptions!$C$4)/365)</f>
        <v>382.069355349773</v>
      </c>
      <c r="E69" s="37" t="n">
        <f aca="false">C69/D69</f>
        <v>20.9386067947696</v>
      </c>
      <c r="F69" s="37" t="n">
        <f aca="false">F68+E69</f>
        <v>1211.24376393201</v>
      </c>
      <c r="G69" s="35" t="n">
        <f aca="false">F69*D69</f>
        <v>462779.124056935</v>
      </c>
      <c r="H69" s="36" t="n">
        <f aca="false">Assumptions!$D$22*(1+Assumptions!$F$22)^((B69-Assumptions!$C$4)/365)</f>
        <v>330.314825060114</v>
      </c>
      <c r="I69" s="37" t="n">
        <f aca="false">C69/H69</f>
        <v>24.2193186410694</v>
      </c>
      <c r="J69" s="37" t="n">
        <f aca="false">J68+I69</f>
        <v>1386.31723502963</v>
      </c>
      <c r="K69" s="35" t="n">
        <f aca="false">J69*H69</f>
        <v>457921.134966631</v>
      </c>
      <c r="L69" s="35" t="n">
        <f aca="false">L68+C69</f>
        <v>340000</v>
      </c>
    </row>
    <row r="70" customFormat="false" ht="15" hidden="false" customHeight="false" outlineLevel="0" collapsed="false">
      <c r="A70" s="33" t="n">
        <v>66</v>
      </c>
      <c r="B70" s="34" t="n">
        <f aca="false">EDATE(B69,1)</f>
        <v>47635</v>
      </c>
      <c r="C70" s="35" t="n">
        <f aca="false">Assumptions!$C$6+(YEAR(B70)-YEAR(Assumptions!$C$4))*Assumptions!$C$7</f>
        <v>8000</v>
      </c>
      <c r="D70" s="36" t="n">
        <f aca="false">Assumptions!$D$21*(1+Assumptions!$F$21)^((B70-Assumptions!$C$4)/365)</f>
        <v>386.344932674557</v>
      </c>
      <c r="E70" s="37" t="n">
        <f aca="false">C70/D70</f>
        <v>20.7068847638774</v>
      </c>
      <c r="F70" s="37" t="n">
        <f aca="false">F69+E70</f>
        <v>1231.95064869589</v>
      </c>
      <c r="G70" s="35" t="n">
        <f aca="false">F70*D70</f>
        <v>475957.890428789</v>
      </c>
      <c r="H70" s="36" t="n">
        <f aca="false">Assumptions!$D$22*(1+Assumptions!$F$22)^((B70-Assumptions!$C$4)/365)</f>
        <v>333.891563958508</v>
      </c>
      <c r="I70" s="37" t="n">
        <f aca="false">C70/H70</f>
        <v>23.9598745926811</v>
      </c>
      <c r="J70" s="37" t="n">
        <f aca="false">J69+I70</f>
        <v>1410.27710962231</v>
      </c>
      <c r="K70" s="35" t="n">
        <f aca="false">J70*H70</f>
        <v>470879.629746676</v>
      </c>
      <c r="L70" s="35" t="n">
        <f aca="false">L69+C70</f>
        <v>348000</v>
      </c>
    </row>
    <row r="71" customFormat="false" ht="15" hidden="false" customHeight="false" outlineLevel="0" collapsed="false">
      <c r="A71" s="38" t="n">
        <v>67</v>
      </c>
      <c r="B71" s="39" t="n">
        <f aca="false">EDATE(B70,1)</f>
        <v>47665</v>
      </c>
      <c r="C71" s="40" t="n">
        <f aca="false">Assumptions!$C$6+(YEAR(B71)-YEAR(Assumptions!$C$4))*Assumptions!$C$7</f>
        <v>8000</v>
      </c>
      <c r="D71" s="41" t="n">
        <f aca="false">Assumptions!$D$21*(1+Assumptions!$F$21)^((B71-Assumptions!$C$4)/365)</f>
        <v>390.528138626194</v>
      </c>
      <c r="E71" s="42" t="n">
        <f aca="false">C71/D71</f>
        <v>20.4850795851549</v>
      </c>
      <c r="F71" s="42" t="n">
        <f aca="false">F70+E71</f>
        <v>1252.43572828104</v>
      </c>
      <c r="G71" s="40" t="n">
        <f aca="false">F71*D71</f>
        <v>489111.393714537</v>
      </c>
      <c r="H71" s="41" t="n">
        <f aca="false">Assumptions!$D$22*(1+Assumptions!$F$22)^((B71-Assumptions!$C$4)/365)</f>
        <v>337.389795927425</v>
      </c>
      <c r="I71" s="42" t="n">
        <f aca="false">C71/H71</f>
        <v>23.7114462161175</v>
      </c>
      <c r="J71" s="42" t="n">
        <f aca="false">J70+I71</f>
        <v>1433.98855583842</v>
      </c>
      <c r="K71" s="40" t="n">
        <f aca="false">J71*H71</f>
        <v>483813.106216589</v>
      </c>
      <c r="L71" s="40" t="n">
        <f aca="false">L70+C71</f>
        <v>356000</v>
      </c>
    </row>
    <row r="72" customFormat="false" ht="15" hidden="false" customHeight="false" outlineLevel="0" collapsed="false">
      <c r="A72" s="38" t="n">
        <v>68</v>
      </c>
      <c r="B72" s="39" t="n">
        <f aca="false">EDATE(B71,1)</f>
        <v>47696</v>
      </c>
      <c r="C72" s="40" t="n">
        <f aca="false">Assumptions!$C$6+(YEAR(B72)-YEAR(Assumptions!$C$4))*Assumptions!$C$7</f>
        <v>8000</v>
      </c>
      <c r="D72" s="41" t="n">
        <f aca="false">Assumptions!$D$21*(1+Assumptions!$F$21)^((B72-Assumptions!$C$4)/365)</f>
        <v>394.898374633925</v>
      </c>
      <c r="E72" s="42" t="n">
        <f aca="false">C72/D72</f>
        <v>20.2583766201015</v>
      </c>
      <c r="F72" s="42" t="n">
        <f aca="false">F71+E72</f>
        <v>1272.69410490114</v>
      </c>
      <c r="G72" s="40" t="n">
        <f aca="false">F72*D72</f>
        <v>502584.83343164</v>
      </c>
      <c r="H72" s="41" t="n">
        <f aca="false">Assumptions!$D$22*(1+Assumptions!$F$22)^((B72-Assumptions!$C$4)/365)</f>
        <v>341.043144537483</v>
      </c>
      <c r="I72" s="42" t="n">
        <f aca="false">C72/H72</f>
        <v>23.4574426377914</v>
      </c>
      <c r="J72" s="42" t="n">
        <f aca="false">J71+I72</f>
        <v>1457.44599847622</v>
      </c>
      <c r="K72" s="40" t="n">
        <f aca="false">J72*H72</f>
        <v>497051.9663139</v>
      </c>
      <c r="L72" s="40" t="n">
        <f aca="false">L71+C72</f>
        <v>364000</v>
      </c>
    </row>
    <row r="73" customFormat="false" ht="15" hidden="false" customHeight="false" outlineLevel="0" collapsed="false">
      <c r="A73" s="38" t="n">
        <v>69</v>
      </c>
      <c r="B73" s="39" t="n">
        <f aca="false">EDATE(B72,1)</f>
        <v>47727</v>
      </c>
      <c r="C73" s="40" t="n">
        <f aca="false">Assumptions!$C$6+(YEAR(B73)-YEAR(Assumptions!$C$4))*Assumptions!$C$7</f>
        <v>8000</v>
      </c>
      <c r="D73" s="41" t="n">
        <f aca="false">Assumptions!$D$21*(1+Assumptions!$F$21)^((B73-Assumptions!$C$4)/365)</f>
        <v>399.317516113181</v>
      </c>
      <c r="E73" s="42" t="n">
        <f aca="false">C73/D73</f>
        <v>20.0341825168834</v>
      </c>
      <c r="F73" s="42" t="n">
        <f aca="false">F72+E73</f>
        <v>1292.72828741803</v>
      </c>
      <c r="G73" s="40" t="n">
        <f aca="false">F73*D73</f>
        <v>516209.048741014</v>
      </c>
      <c r="H73" s="41" t="n">
        <f aca="false">Assumptions!$D$22*(1+Assumptions!$F$22)^((B73-Assumptions!$C$4)/365)</f>
        <v>344.736052601406</v>
      </c>
      <c r="I73" s="42" t="n">
        <f aca="false">C73/H73</f>
        <v>23.206160016138</v>
      </c>
      <c r="J73" s="42" t="n">
        <f aca="false">J72+I73</f>
        <v>1480.65215849235</v>
      </c>
      <c r="K73" s="40" t="n">
        <f aca="false">J73*H73</f>
        <v>510434.180394405</v>
      </c>
      <c r="L73" s="40" t="n">
        <f aca="false">L72+C73</f>
        <v>372000</v>
      </c>
    </row>
    <row r="74" customFormat="false" ht="15" hidden="false" customHeight="false" outlineLevel="0" collapsed="false">
      <c r="A74" s="38" t="n">
        <v>70</v>
      </c>
      <c r="B74" s="39" t="n">
        <f aca="false">EDATE(B73,1)</f>
        <v>47757</v>
      </c>
      <c r="C74" s="40" t="n">
        <f aca="false">Assumptions!$C$6+(YEAR(B74)-YEAR(Assumptions!$C$4))*Assumptions!$C$7</f>
        <v>8000</v>
      </c>
      <c r="D74" s="41" t="n">
        <f aca="false">Assumptions!$D$21*(1+Assumptions!$F$21)^((B74-Assumptions!$C$4)/365)</f>
        <v>403.641184598837</v>
      </c>
      <c r="E74" s="42" t="n">
        <f aca="false">C74/D74</f>
        <v>19.819583098169</v>
      </c>
      <c r="F74" s="42" t="n">
        <f aca="false">F73+E74</f>
        <v>1312.5478705162</v>
      </c>
      <c r="G74" s="40" t="n">
        <f aca="false">F74*D74</f>
        <v>529798.377297838</v>
      </c>
      <c r="H74" s="41" t="n">
        <f aca="false">Assumptions!$D$22*(1+Assumptions!$F$22)^((B74-Assumptions!$C$4)/365)</f>
        <v>348.34790390352</v>
      </c>
      <c r="I74" s="42" t="n">
        <f aca="false">C74/H74</f>
        <v>22.9655465422743</v>
      </c>
      <c r="J74" s="42" t="n">
        <f aca="false">J73+I74</f>
        <v>1503.61770503463</v>
      </c>
      <c r="K74" s="40" t="n">
        <f aca="false">J74*H74</f>
        <v>523782.075821035</v>
      </c>
      <c r="L74" s="40" t="n">
        <f aca="false">L73+C74</f>
        <v>380000</v>
      </c>
    </row>
    <row r="75" customFormat="false" ht="15" hidden="false" customHeight="false" outlineLevel="0" collapsed="false">
      <c r="A75" s="38" t="n">
        <v>71</v>
      </c>
      <c r="B75" s="39" t="n">
        <f aca="false">EDATE(B74,1)</f>
        <v>47788</v>
      </c>
      <c r="C75" s="40" t="n">
        <f aca="false">Assumptions!$C$6+(YEAR(B75)-YEAR(Assumptions!$C$4))*Assumptions!$C$7</f>
        <v>8000</v>
      </c>
      <c r="D75" s="41" t="n">
        <f aca="false">Assumptions!$D$21*(1+Assumptions!$F$21)^((B75-Assumptions!$C$4)/365)</f>
        <v>408.158163184151</v>
      </c>
      <c r="E75" s="42" t="n">
        <f aca="false">C75/D75</f>
        <v>19.6002450069597</v>
      </c>
      <c r="F75" s="42" t="n">
        <f aca="false">F74+E75</f>
        <v>1332.14811552316</v>
      </c>
      <c r="G75" s="40" t="n">
        <f aca="false">F75*D75</f>
        <v>543727.12792116</v>
      </c>
      <c r="H75" s="41" t="n">
        <f aca="false">Assumptions!$D$22*(1+Assumptions!$F$22)^((B75-Assumptions!$C$4)/365)</f>
        <v>352.119909891562</v>
      </c>
      <c r="I75" s="42" t="n">
        <f aca="false">C75/H75</f>
        <v>22.7195332478179</v>
      </c>
      <c r="J75" s="42" t="n">
        <f aca="false">J74+I75</f>
        <v>1526.33723828245</v>
      </c>
      <c r="K75" s="40" t="n">
        <f aca="false">J75*H75</f>
        <v>537453.730808151</v>
      </c>
      <c r="L75" s="40" t="n">
        <f aca="false">L74+C75</f>
        <v>388000</v>
      </c>
    </row>
    <row r="76" customFormat="false" ht="15" hidden="false" customHeight="false" outlineLevel="0" collapsed="false">
      <c r="A76" s="38" t="n">
        <v>72</v>
      </c>
      <c r="B76" s="39" t="n">
        <f aca="false">EDATE(B75,1)</f>
        <v>47818</v>
      </c>
      <c r="C76" s="40" t="n">
        <f aca="false">Assumptions!$C$6+(YEAR(B76)-YEAR(Assumptions!$C$4))*Assumptions!$C$7</f>
        <v>8000</v>
      </c>
      <c r="D76" s="41" t="n">
        <f aca="false">Assumptions!$D$21*(1+Assumptions!$F$21)^((B76-Assumptions!$C$4)/365)</f>
        <v>412.577555061822</v>
      </c>
      <c r="E76" s="42" t="n">
        <f aca="false">C76/D76</f>
        <v>19.3902937807687</v>
      </c>
      <c r="F76" s="42" t="n">
        <f aca="false">F75+E76</f>
        <v>1351.53840930392</v>
      </c>
      <c r="G76" s="40" t="n">
        <f aca="false">F76*D76</f>
        <v>557614.412482757</v>
      </c>
      <c r="H76" s="41" t="n">
        <f aca="false">Assumptions!$D$22*(1+Assumptions!$F$22)^((B76-Assumptions!$C$4)/365)</f>
        <v>355.809122973412</v>
      </c>
      <c r="I76" s="42" t="n">
        <f aca="false">C76/H76</f>
        <v>22.4839653720678</v>
      </c>
      <c r="J76" s="42" t="n">
        <f aca="false">J75+I76</f>
        <v>1548.82120365451</v>
      </c>
      <c r="K76" s="40" t="n">
        <f aca="false">J76*H76</f>
        <v>551084.714114937</v>
      </c>
      <c r="L76" s="40" t="n">
        <f aca="false">L75+C76</f>
        <v>396000</v>
      </c>
    </row>
    <row r="77" customFormat="false" ht="15" hidden="false" customHeight="false" outlineLevel="0" collapsed="false">
      <c r="A77" s="33" t="n">
        <v>73</v>
      </c>
      <c r="B77" s="34" t="n">
        <f aca="false">EDATE(B76,1)</f>
        <v>47849</v>
      </c>
      <c r="C77" s="35" t="n">
        <f aca="false">Assumptions!$C$6+(YEAR(B77)-YEAR(Assumptions!$C$4))*Assumptions!$C$7</f>
        <v>9000</v>
      </c>
      <c r="D77" s="36" t="n">
        <f aca="false">Assumptions!$D$21*(1+Assumptions!$F$21)^((B77-Assumptions!$C$4)/365)</f>
        <v>417.19453680725</v>
      </c>
      <c r="E77" s="37" t="n">
        <f aca="false">C77/D77</f>
        <v>21.572669836178</v>
      </c>
      <c r="F77" s="37" t="n">
        <f aca="false">F76+E77</f>
        <v>1373.1110791401</v>
      </c>
      <c r="G77" s="35" t="n">
        <f aca="false">F77*D77</f>
        <v>572854.440646758</v>
      </c>
      <c r="H77" s="36" t="n">
        <f aca="false">Assumptions!$D$22*(1+Assumptions!$F$22)^((B77-Assumptions!$C$4)/365)</f>
        <v>359.661921073863</v>
      </c>
      <c r="I77" s="37" t="n">
        <f aca="false">C77/H77</f>
        <v>25.0234997720309</v>
      </c>
      <c r="J77" s="37" t="n">
        <f aca="false">J76+I77</f>
        <v>1573.84470342654</v>
      </c>
      <c r="K77" s="35" t="n">
        <f aca="false">J77*H77</f>
        <v>566052.009506316</v>
      </c>
      <c r="L77" s="35" t="n">
        <f aca="false">L76+C77</f>
        <v>405000</v>
      </c>
    </row>
    <row r="78" customFormat="false" ht="15" hidden="false" customHeight="false" outlineLevel="0" collapsed="false">
      <c r="A78" s="33" t="n">
        <v>74</v>
      </c>
      <c r="B78" s="34" t="n">
        <f aca="false">EDATE(B77,1)</f>
        <v>47880</v>
      </c>
      <c r="C78" s="35" t="n">
        <f aca="false">Assumptions!$C$6+(YEAR(B78)-YEAR(Assumptions!$C$4))*Assumptions!$C$7</f>
        <v>9000</v>
      </c>
      <c r="D78" s="36" t="n">
        <f aca="false">Assumptions!$D$21*(1+Assumptions!$F$21)^((B78-Assumptions!$C$4)/365)</f>
        <v>421.863185251886</v>
      </c>
      <c r="E78" s="37" t="n">
        <f aca="false">C78/D78</f>
        <v>21.3339307970813</v>
      </c>
      <c r="F78" s="37" t="n">
        <f aca="false">F77+E78</f>
        <v>1394.44500993718</v>
      </c>
      <c r="G78" s="35" t="n">
        <f aca="false">F78*D78</f>
        <v>588265.013550698</v>
      </c>
      <c r="H78" s="36" t="n">
        <f aca="false">Assumptions!$D$22*(1+Assumptions!$F$22)^((B78-Assumptions!$C$4)/365)</f>
        <v>363.556438321588</v>
      </c>
      <c r="I78" s="37" t="n">
        <f aca="false">C78/H78</f>
        <v>24.7554411126642</v>
      </c>
      <c r="J78" s="37" t="n">
        <f aca="false">J77+I78</f>
        <v>1598.60014453921</v>
      </c>
      <c r="K78" s="35" t="n">
        <f aca="false">J78*H78</f>
        <v>581181.374849051</v>
      </c>
      <c r="L78" s="35" t="n">
        <f aca="false">L77+C78</f>
        <v>414000</v>
      </c>
    </row>
    <row r="79" customFormat="false" ht="15" hidden="false" customHeight="false" outlineLevel="0" collapsed="false">
      <c r="A79" s="33" t="n">
        <v>75</v>
      </c>
      <c r="B79" s="34" t="n">
        <f aca="false">EDATE(B78,1)</f>
        <v>47908</v>
      </c>
      <c r="C79" s="35" t="n">
        <f aca="false">Assumptions!$C$6+(YEAR(B79)-YEAR(Assumptions!$C$4))*Assumptions!$C$7</f>
        <v>9000</v>
      </c>
      <c r="D79" s="36" t="n">
        <f aca="false">Assumptions!$D$21*(1+Assumptions!$F$21)^((B79-Assumptions!$C$4)/365)</f>
        <v>426.124918435938</v>
      </c>
      <c r="E79" s="37" t="n">
        <f aca="false">C79/D79</f>
        <v>21.1205672576809</v>
      </c>
      <c r="F79" s="37" t="n">
        <f aca="false">F78+E79</f>
        <v>1415.56557719486</v>
      </c>
      <c r="G79" s="35" t="n">
        <f aca="false">F79*D79</f>
        <v>603207.766122883</v>
      </c>
      <c r="H79" s="36" t="n">
        <f aca="false">Assumptions!$D$22*(1+Assumptions!$F$22)^((B79-Assumptions!$C$4)/365)</f>
        <v>367.110300962463</v>
      </c>
      <c r="I79" s="37" t="n">
        <f aca="false">C79/H79</f>
        <v>24.5157926007646</v>
      </c>
      <c r="J79" s="37" t="n">
        <f aca="false">J78+I79</f>
        <v>1623.11593713997</v>
      </c>
      <c r="K79" s="35" t="n">
        <f aca="false">J79*H79</f>
        <v>595862.580180426</v>
      </c>
      <c r="L79" s="35" t="n">
        <f aca="false">L78+C79</f>
        <v>423000</v>
      </c>
    </row>
    <row r="80" customFormat="false" ht="15" hidden="false" customHeight="false" outlineLevel="0" collapsed="false">
      <c r="A80" s="33" t="n">
        <v>76</v>
      </c>
      <c r="B80" s="34" t="n">
        <f aca="false">EDATE(B79,1)</f>
        <v>47939</v>
      </c>
      <c r="C80" s="35" t="n">
        <f aca="false">Assumptions!$C$6+(YEAR(B80)-YEAR(Assumptions!$C$4))*Assumptions!$C$7</f>
        <v>9000</v>
      </c>
      <c r="D80" s="36" t="n">
        <f aca="false">Assumptions!$D$21*(1+Assumptions!$F$21)^((B80-Assumptions!$C$4)/365)</f>
        <v>430.893503022164</v>
      </c>
      <c r="E80" s="37" t="n">
        <f aca="false">C80/D80</f>
        <v>20.8868315184067</v>
      </c>
      <c r="F80" s="37" t="n">
        <f aca="false">F79+E80</f>
        <v>1436.45240871327</v>
      </c>
      <c r="G80" s="35" t="n">
        <f aca="false">F80*D80</f>
        <v>618958.010315087</v>
      </c>
      <c r="H80" s="36" t="n">
        <f aca="false">Assumptions!$D$22*(1+Assumptions!$F$22)^((B80-Assumptions!$C$4)/365)</f>
        <v>371.085471296445</v>
      </c>
      <c r="I80" s="37" t="n">
        <f aca="false">C80/H80</f>
        <v>24.2531726412168</v>
      </c>
      <c r="J80" s="37" t="n">
        <f aca="false">J79+I80</f>
        <v>1647.36910978119</v>
      </c>
      <c r="K80" s="35" t="n">
        <f aca="false">J80*H80</f>
        <v>611314.742502359</v>
      </c>
      <c r="L80" s="35" t="n">
        <f aca="false">L79+C80</f>
        <v>432000</v>
      </c>
    </row>
    <row r="81" customFormat="false" ht="15" hidden="false" customHeight="false" outlineLevel="0" collapsed="false">
      <c r="A81" s="33" t="n">
        <v>77</v>
      </c>
      <c r="B81" s="34" t="n">
        <f aca="false">EDATE(B80,1)</f>
        <v>47969</v>
      </c>
      <c r="C81" s="35" t="n">
        <f aca="false">Assumptions!$C$6+(YEAR(B81)-YEAR(Assumptions!$C$4))*Assumptions!$C$7</f>
        <v>9000</v>
      </c>
      <c r="D81" s="36" t="n">
        <f aca="false">Assumptions!$D$21*(1+Assumptions!$F$21)^((B81-Assumptions!$C$4)/365)</f>
        <v>435.559065098741</v>
      </c>
      <c r="E81" s="37" t="n">
        <f aca="false">C81/D81</f>
        <v>20.6630988106279</v>
      </c>
      <c r="F81" s="37" t="n">
        <f aca="false">F80+E81</f>
        <v>1457.1155075239</v>
      </c>
      <c r="G81" s="35" t="n">
        <f aca="false">F81*D81</f>
        <v>634659.868197987</v>
      </c>
      <c r="H81" s="36" t="n">
        <f aca="false">Assumptions!$D$22*(1+Assumptions!$F$22)^((B81-Assumptions!$C$4)/365)</f>
        <v>374.973389408241</v>
      </c>
      <c r="I81" s="37" t="n">
        <f aca="false">C81/H81</f>
        <v>24.0017031987343</v>
      </c>
      <c r="J81" s="37" t="n">
        <f aca="false">J80+I81</f>
        <v>1671.37081297992</v>
      </c>
      <c r="K81" s="35" t="n">
        <f aca="false">J81*H81</f>
        <v>626719.57870109</v>
      </c>
      <c r="L81" s="35" t="n">
        <f aca="false">L80+C81</f>
        <v>441000</v>
      </c>
    </row>
    <row r="82" customFormat="false" ht="15" hidden="false" customHeight="false" outlineLevel="0" collapsed="false">
      <c r="A82" s="33" t="n">
        <v>78</v>
      </c>
      <c r="B82" s="34" t="n">
        <f aca="false">EDATE(B81,1)</f>
        <v>48000</v>
      </c>
      <c r="C82" s="35" t="n">
        <f aca="false">Assumptions!$C$6+(YEAR(B82)-YEAR(Assumptions!$C$4))*Assumptions!$C$7</f>
        <v>9000</v>
      </c>
      <c r="D82" s="36" t="n">
        <f aca="false">Assumptions!$D$21*(1+Assumptions!$F$21)^((B82-Assumptions!$C$4)/365)</f>
        <v>440.433223248995</v>
      </c>
      <c r="E82" s="37" t="n">
        <f aca="false">C82/D82</f>
        <v>20.4344257538263</v>
      </c>
      <c r="F82" s="37" t="n">
        <f aca="false">F81+E82</f>
        <v>1477.54993327773</v>
      </c>
      <c r="G82" s="35" t="n">
        <f aca="false">F82*D82</f>
        <v>650762.079624846</v>
      </c>
      <c r="H82" s="36" t="n">
        <f aca="false">Assumptions!$D$22*(1+Assumptions!$F$22)^((B82-Assumptions!$C$4)/365)</f>
        <v>379.033703405698</v>
      </c>
      <c r="I82" s="37" t="n">
        <f aca="false">C82/H82</f>
        <v>23.7445903072289</v>
      </c>
      <c r="J82" s="37" t="n">
        <f aca="false">J81+I82</f>
        <v>1695.11540328715</v>
      </c>
      <c r="K82" s="35" t="n">
        <f aca="false">J82*H82</f>
        <v>642505.869007973</v>
      </c>
      <c r="L82" s="35" t="n">
        <f aca="false">L81+C82</f>
        <v>450000</v>
      </c>
    </row>
    <row r="83" customFormat="false" ht="15" hidden="false" customHeight="false" outlineLevel="0" collapsed="false">
      <c r="A83" s="38" t="n">
        <v>79</v>
      </c>
      <c r="B83" s="39" t="n">
        <f aca="false">EDATE(B82,1)</f>
        <v>48030</v>
      </c>
      <c r="C83" s="40" t="n">
        <f aca="false">Assumptions!$C$6+(YEAR(B83)-YEAR(Assumptions!$C$4))*Assumptions!$C$7</f>
        <v>9000</v>
      </c>
      <c r="D83" s="41" t="n">
        <f aca="false">Assumptions!$D$21*(1+Assumptions!$F$21)^((B83-Assumptions!$C$4)/365)</f>
        <v>445.202078033861</v>
      </c>
      <c r="E83" s="42" t="n">
        <f aca="false">C83/D83</f>
        <v>20.2155390642976</v>
      </c>
      <c r="F83" s="42" t="n">
        <f aca="false">F82+E83</f>
        <v>1497.76547234202</v>
      </c>
      <c r="G83" s="40" t="n">
        <f aca="false">F83*D83</f>
        <v>666808.300694036</v>
      </c>
      <c r="H83" s="41" t="n">
        <f aca="false">Assumptions!$D$22*(1+Assumptions!$F$22)^((B83-Assumptions!$C$4)/365)</f>
        <v>383.004896336813</v>
      </c>
      <c r="I83" s="42" t="n">
        <f aca="false">C83/H83</f>
        <v>23.4983941095245</v>
      </c>
      <c r="J83" s="42" t="n">
        <f aca="false">J82+I83</f>
        <v>1718.61379739668</v>
      </c>
      <c r="K83" s="40" t="n">
        <f aca="false">J83*H83</f>
        <v>658237.499314931</v>
      </c>
      <c r="L83" s="40" t="n">
        <f aca="false">L82+C83</f>
        <v>459000</v>
      </c>
    </row>
    <row r="84" customFormat="false" ht="15" hidden="false" customHeight="false" outlineLevel="0" collapsed="false">
      <c r="A84" s="38" t="n">
        <v>80</v>
      </c>
      <c r="B84" s="39" t="n">
        <f aca="false">EDATE(B83,1)</f>
        <v>48061</v>
      </c>
      <c r="C84" s="40" t="n">
        <f aca="false">Assumptions!$C$6+(YEAR(B84)-YEAR(Assumptions!$C$4))*Assumptions!$C$7</f>
        <v>9000</v>
      </c>
      <c r="D84" s="41" t="n">
        <f aca="false">Assumptions!$D$21*(1+Assumptions!$F$21)^((B84-Assumptions!$C$4)/365)</f>
        <v>450.184147082675</v>
      </c>
      <c r="E84" s="42" t="n">
        <f aca="false">C84/D84</f>
        <v>19.9918190329949</v>
      </c>
      <c r="F84" s="42" t="n">
        <f aca="false">F83+E84</f>
        <v>1517.75729137502</v>
      </c>
      <c r="G84" s="40" t="n">
        <f aca="false">F84*D84</f>
        <v>683270.271696173</v>
      </c>
      <c r="H84" s="41" t="n">
        <f aca="false">Assumptions!$D$22*(1+Assumptions!$F$22)^((B84-Assumptions!$C$4)/365)</f>
        <v>387.15217767895</v>
      </c>
      <c r="I84" s="42" t="n">
        <f aca="false">C84/H84</f>
        <v>23.2466728043652</v>
      </c>
      <c r="J84" s="42" t="n">
        <f aca="false">J83+I84</f>
        <v>1741.86047020104</v>
      </c>
      <c r="K84" s="40" t="n">
        <f aca="false">J84*H84</f>
        <v>674365.074251214</v>
      </c>
      <c r="L84" s="40" t="n">
        <f aca="false">L83+C84</f>
        <v>468000</v>
      </c>
    </row>
    <row r="85" customFormat="false" ht="15" hidden="false" customHeight="false" outlineLevel="0" collapsed="false">
      <c r="A85" s="38" t="n">
        <v>81</v>
      </c>
      <c r="B85" s="39" t="n">
        <f aca="false">EDATE(B84,1)</f>
        <v>48092</v>
      </c>
      <c r="C85" s="40" t="n">
        <f aca="false">Assumptions!$C$6+(YEAR(B85)-YEAR(Assumptions!$C$4))*Assumptions!$C$7</f>
        <v>9000</v>
      </c>
      <c r="D85" s="41" t="n">
        <f aca="false">Assumptions!$D$21*(1+Assumptions!$F$21)^((B85-Assumptions!$C$4)/365)</f>
        <v>455.221968369027</v>
      </c>
      <c r="E85" s="42" t="n">
        <f aca="false">C85/D85</f>
        <v>19.7705748521876</v>
      </c>
      <c r="F85" s="42" t="n">
        <f aca="false">F84+E85</f>
        <v>1537.52786622721</v>
      </c>
      <c r="G85" s="40" t="n">
        <f aca="false">F85*D85</f>
        <v>699916.461686179</v>
      </c>
      <c r="H85" s="41" t="n">
        <f aca="false">Assumptions!$D$22*(1+Assumptions!$F$22)^((B85-Assumptions!$C$4)/365)</f>
        <v>391.344366913116</v>
      </c>
      <c r="I85" s="42" t="n">
        <f aca="false">C85/H85</f>
        <v>22.9976480075364</v>
      </c>
      <c r="J85" s="42" t="n">
        <f aca="false">J84+I85</f>
        <v>1764.85811820858</v>
      </c>
      <c r="K85" s="40" t="n">
        <f aca="false">J85*H85</f>
        <v>690667.282961809</v>
      </c>
      <c r="L85" s="40" t="n">
        <f aca="false">L84+C85</f>
        <v>477000</v>
      </c>
    </row>
    <row r="86" customFormat="false" ht="15" hidden="false" customHeight="false" outlineLevel="0" collapsed="false">
      <c r="A86" s="38" t="n">
        <v>82</v>
      </c>
      <c r="B86" s="39" t="n">
        <f aca="false">EDATE(B85,1)</f>
        <v>48122</v>
      </c>
      <c r="C86" s="40" t="n">
        <f aca="false">Assumptions!$C$6+(YEAR(B86)-YEAR(Assumptions!$C$4))*Assumptions!$C$7</f>
        <v>9000</v>
      </c>
      <c r="D86" s="41" t="n">
        <f aca="false">Assumptions!$D$21*(1+Assumptions!$F$21)^((B86-Assumptions!$C$4)/365)</f>
        <v>460.150950442674</v>
      </c>
      <c r="E86" s="42" t="n">
        <f aca="false">C86/D86</f>
        <v>19.5587991100351</v>
      </c>
      <c r="F86" s="42" t="n">
        <f aca="false">F85+E86</f>
        <v>1557.08666533724</v>
      </c>
      <c r="G86" s="40" t="n">
        <f aca="false">F86*D86</f>
        <v>716494.908976545</v>
      </c>
      <c r="H86" s="41" t="n">
        <f aca="false">Assumptions!$D$22*(1+Assumptions!$F$22)^((B86-Assumptions!$C$4)/365)</f>
        <v>395.444540511276</v>
      </c>
      <c r="I86" s="42" t="n">
        <f aca="false">C86/H86</f>
        <v>22.7591964940615</v>
      </c>
      <c r="J86" s="42" t="n">
        <f aca="false">J85+I86</f>
        <v>1787.61731470264</v>
      </c>
      <c r="K86" s="40" t="n">
        <f aca="false">J86*H86</f>
        <v>706903.507622588</v>
      </c>
      <c r="L86" s="40" t="n">
        <f aca="false">L85+C86</f>
        <v>486000</v>
      </c>
    </row>
    <row r="87" customFormat="false" ht="15" hidden="false" customHeight="false" outlineLevel="0" collapsed="false">
      <c r="A87" s="38" t="n">
        <v>83</v>
      </c>
      <c r="B87" s="39" t="n">
        <f aca="false">EDATE(B86,1)</f>
        <v>48153</v>
      </c>
      <c r="C87" s="40" t="n">
        <f aca="false">Assumptions!$C$6+(YEAR(B87)-YEAR(Assumptions!$C$4))*Assumptions!$C$7</f>
        <v>9000</v>
      </c>
      <c r="D87" s="41" t="n">
        <f aca="false">Assumptions!$D$21*(1+Assumptions!$F$21)^((B87-Assumptions!$C$4)/365)</f>
        <v>465.300306029932</v>
      </c>
      <c r="E87" s="42" t="n">
        <f aca="false">C87/D87</f>
        <v>19.3423470463418</v>
      </c>
      <c r="F87" s="42" t="n">
        <f aca="false">F86+E87</f>
        <v>1576.42901238358</v>
      </c>
      <c r="G87" s="40" t="n">
        <f aca="false">F87*D87</f>
        <v>733512.901896545</v>
      </c>
      <c r="H87" s="41" t="n">
        <f aca="false">Assumptions!$D$22*(1+Assumptions!$F$22)^((B87-Assumptions!$C$4)/365)</f>
        <v>399.726521708901</v>
      </c>
      <c r="I87" s="42" t="n">
        <f aca="false">C87/H87</f>
        <v>22.5153936784665</v>
      </c>
      <c r="J87" s="42" t="n">
        <f aca="false">J86+I87</f>
        <v>1810.13270838111</v>
      </c>
      <c r="K87" s="40" t="n">
        <f aca="false">J87*H87</f>
        <v>723558.051352693</v>
      </c>
      <c r="L87" s="40" t="n">
        <f aca="false">L86+C87</f>
        <v>495000</v>
      </c>
    </row>
    <row r="88" customFormat="false" ht="15" hidden="false" customHeight="false" outlineLevel="0" collapsed="false">
      <c r="A88" s="38" t="n">
        <v>84</v>
      </c>
      <c r="B88" s="39" t="n">
        <f aca="false">EDATE(B87,1)</f>
        <v>48183</v>
      </c>
      <c r="C88" s="40" t="n">
        <f aca="false">Assumptions!$C$6+(YEAR(B88)-YEAR(Assumptions!$C$4))*Assumptions!$C$7</f>
        <v>9000</v>
      </c>
      <c r="D88" s="41" t="n">
        <f aca="false">Assumptions!$D$21*(1+Assumptions!$F$21)^((B88-Assumptions!$C$4)/365)</f>
        <v>470.338412770477</v>
      </c>
      <c r="E88" s="42" t="n">
        <f aca="false">C88/D88</f>
        <v>19.1351583362849</v>
      </c>
      <c r="F88" s="42" t="n">
        <f aca="false">F87+E88</f>
        <v>1595.56417071987</v>
      </c>
      <c r="G88" s="40" t="n">
        <f aca="false">F88*D88</f>
        <v>750455.119529825</v>
      </c>
      <c r="H88" s="41" t="n">
        <f aca="false">Assumptions!$D$22*(1+Assumptions!$F$22)^((B88-Assumptions!$C$4)/365)</f>
        <v>403.914516399417</v>
      </c>
      <c r="I88" s="42" t="n">
        <f aca="false">C88/H88</f>
        <v>22.2819424273928</v>
      </c>
      <c r="J88" s="42" t="n">
        <f aca="false">J87+I88</f>
        <v>1832.4146508085</v>
      </c>
      <c r="K88" s="40" t="n">
        <f aca="false">J88*H88</f>
        <v>740138.877524523</v>
      </c>
      <c r="L88" s="40" t="n">
        <f aca="false">L87+C88</f>
        <v>504000</v>
      </c>
    </row>
    <row r="89" customFormat="false" ht="15" hidden="false" customHeight="false" outlineLevel="0" collapsed="false">
      <c r="A89" s="33" t="n">
        <v>85</v>
      </c>
      <c r="B89" s="34" t="n">
        <f aca="false">EDATE(B88,1)</f>
        <v>48214</v>
      </c>
      <c r="C89" s="35" t="n">
        <f aca="false">Assumptions!$C$6+(YEAR(B89)-YEAR(Assumptions!$C$4))*Assumptions!$C$7</f>
        <v>10000</v>
      </c>
      <c r="D89" s="36" t="n">
        <f aca="false">Assumptions!$D$21*(1+Assumptions!$F$21)^((B89-Assumptions!$C$4)/365)</f>
        <v>475.601771960265</v>
      </c>
      <c r="E89" s="37" t="n">
        <f aca="false">C89/D89</f>
        <v>21.0259939923762</v>
      </c>
      <c r="F89" s="37" t="n">
        <f aca="false">F88+E89</f>
        <v>1616.59016471224</v>
      </c>
      <c r="G89" s="35" t="n">
        <f aca="false">F89*D89</f>
        <v>768853.146870679</v>
      </c>
      <c r="H89" s="36" t="n">
        <f aca="false">Assumptions!$D$22*(1+Assumptions!$F$22)^((B89-Assumptions!$C$4)/365)</f>
        <v>408.288212803049</v>
      </c>
      <c r="I89" s="37" t="n">
        <f aca="false">C89/H89</f>
        <v>24.4925023216965</v>
      </c>
      <c r="J89" s="37" t="n">
        <f aca="false">J88+I89</f>
        <v>1856.9071531302</v>
      </c>
      <c r="K89" s="35" t="n">
        <f aca="false">J89*H89</f>
        <v>758153.302892726</v>
      </c>
      <c r="L89" s="35" t="n">
        <f aca="false">L88+C89</f>
        <v>514000</v>
      </c>
    </row>
    <row r="90" customFormat="false" ht="15" hidden="false" customHeight="false" outlineLevel="0" collapsed="false">
      <c r="A90" s="33" t="n">
        <v>86</v>
      </c>
      <c r="B90" s="34" t="n">
        <f aca="false">EDATE(B89,1)</f>
        <v>48245</v>
      </c>
      <c r="C90" s="35" t="n">
        <f aca="false">Assumptions!$C$6+(YEAR(B90)-YEAR(Assumptions!$C$4))*Assumptions!$C$7</f>
        <v>10000</v>
      </c>
      <c r="D90" s="36" t="n">
        <f aca="false">Assumptions!$D$21*(1+Assumptions!$F$21)^((B90-Assumptions!$C$4)/365)</f>
        <v>480.92403118715</v>
      </c>
      <c r="E90" s="37" t="n">
        <f aca="false">C90/D90</f>
        <v>20.7933048704496</v>
      </c>
      <c r="F90" s="37" t="n">
        <f aca="false">F89+E90</f>
        <v>1637.38346958269</v>
      </c>
      <c r="G90" s="35" t="n">
        <f aca="false">F90*D90</f>
        <v>787457.058790911</v>
      </c>
      <c r="H90" s="36" t="n">
        <f aca="false">Assumptions!$D$22*(1+Assumptions!$F$22)^((B90-Assumptions!$C$4)/365)</f>
        <v>412.709268782667</v>
      </c>
      <c r="I90" s="37" t="n">
        <f aca="false">C90/H90</f>
        <v>24.230131854068</v>
      </c>
      <c r="J90" s="37" t="n">
        <f aca="false">J89+I90</f>
        <v>1881.13728498427</v>
      </c>
      <c r="K90" s="35" t="n">
        <f aca="false">J90*H90</f>
        <v>776362.793365668</v>
      </c>
      <c r="L90" s="35" t="n">
        <f aca="false">L89+C90</f>
        <v>524000</v>
      </c>
    </row>
    <row r="91" customFormat="false" ht="15" hidden="false" customHeight="false" outlineLevel="0" collapsed="false">
      <c r="A91" s="33" t="n">
        <v>87</v>
      </c>
      <c r="B91" s="34" t="n">
        <f aca="false">EDATE(B90,1)</f>
        <v>48274</v>
      </c>
      <c r="C91" s="35" t="n">
        <f aca="false">Assumptions!$C$6+(YEAR(B91)-YEAR(Assumptions!$C$4))*Assumptions!$C$7</f>
        <v>10000</v>
      </c>
      <c r="D91" s="36" t="n">
        <f aca="false">Assumptions!$D$21*(1+Assumptions!$F$21)^((B91-Assumptions!$C$4)/365)</f>
        <v>485.956825238541</v>
      </c>
      <c r="E91" s="37" t="n">
        <f aca="false">C91/D91</f>
        <v>20.5779597705852</v>
      </c>
      <c r="F91" s="37" t="n">
        <f aca="false">F90+E91</f>
        <v>1657.96142935328</v>
      </c>
      <c r="G91" s="35" t="n">
        <f aca="false">F91*D91</f>
        <v>805697.672576473</v>
      </c>
      <c r="H91" s="36" t="n">
        <f aca="false">Assumptions!$D$22*(1+Assumptions!$F$22)^((B91-Assumptions!$C$4)/365)</f>
        <v>416.888424496976</v>
      </c>
      <c r="I91" s="37" t="n">
        <f aca="false">C91/H91</f>
        <v>23.9872335435223</v>
      </c>
      <c r="J91" s="37" t="n">
        <f aca="false">J90+I91</f>
        <v>1905.12451852779</v>
      </c>
      <c r="K91" s="35" t="n">
        <f aca="false">J91*H91</f>
        <v>794224.358999609</v>
      </c>
      <c r="L91" s="35" t="n">
        <f aca="false">L90+C91</f>
        <v>534000</v>
      </c>
    </row>
    <row r="92" customFormat="false" ht="15" hidden="false" customHeight="false" outlineLevel="0" collapsed="false">
      <c r="A92" s="33" t="n">
        <v>88</v>
      </c>
      <c r="B92" s="34" t="n">
        <f aca="false">EDATE(B91,1)</f>
        <v>48305</v>
      </c>
      <c r="C92" s="35" t="n">
        <f aca="false">Assumptions!$C$6+(YEAR(B92)-YEAR(Assumptions!$C$4))*Assumptions!$C$7</f>
        <v>10000</v>
      </c>
      <c r="D92" s="36" t="n">
        <f aca="false">Assumptions!$D$21*(1+Assumptions!$F$21)^((B92-Assumptions!$C$4)/365)</f>
        <v>491.394963507735</v>
      </c>
      <c r="E92" s="37" t="n">
        <f aca="false">C92/D92</f>
        <v>20.350228925052</v>
      </c>
      <c r="F92" s="37" t="n">
        <f aca="false">F91+E92</f>
        <v>1678.31165827833</v>
      </c>
      <c r="G92" s="35" t="n">
        <f aca="false">F92*D92</f>
        <v>824713.896074287</v>
      </c>
      <c r="H92" s="36" t="n">
        <f aca="false">Assumptions!$D$22*(1+Assumptions!$F$22)^((B92-Assumptions!$C$4)/365)</f>
        <v>421.40260591138</v>
      </c>
      <c r="I92" s="37" t="n">
        <f aca="false">C92/H92</f>
        <v>23.7302756549706</v>
      </c>
      <c r="J92" s="37" t="n">
        <f aca="false">J91+I92</f>
        <v>1928.85479418276</v>
      </c>
      <c r="K92" s="35" t="n">
        <f aca="false">J92*H92</f>
        <v>812824.436693272</v>
      </c>
      <c r="L92" s="35" t="n">
        <f aca="false">L91+C92</f>
        <v>544000</v>
      </c>
    </row>
    <row r="93" customFormat="false" ht="15" hidden="false" customHeight="false" outlineLevel="0" collapsed="false">
      <c r="A93" s="33" t="n">
        <v>89</v>
      </c>
      <c r="B93" s="34" t="n">
        <f aca="false">EDATE(B92,1)</f>
        <v>48335</v>
      </c>
      <c r="C93" s="35" t="n">
        <f aca="false">Assumptions!$C$6+(YEAR(B93)-YEAR(Assumptions!$C$4))*Assumptions!$C$7</f>
        <v>10000</v>
      </c>
      <c r="D93" s="36" t="n">
        <f aca="false">Assumptions!$D$21*(1+Assumptions!$F$21)^((B93-Assumptions!$C$4)/365)</f>
        <v>496.715613947537</v>
      </c>
      <c r="E93" s="37" t="n">
        <f aca="false">C93/D93</f>
        <v>20.1322441236087</v>
      </c>
      <c r="F93" s="37" t="n">
        <f aca="false">F92+E93</f>
        <v>1698.44390240194</v>
      </c>
      <c r="G93" s="35" t="n">
        <f aca="false">F93*D93</f>
        <v>843643.60573703</v>
      </c>
      <c r="H93" s="36" t="n">
        <f aca="false">Assumptions!$D$22*(1+Assumptions!$F$22)^((B93-Assumptions!$C$4)/365)</f>
        <v>425.817704185523</v>
      </c>
      <c r="I93" s="37" t="n">
        <f aca="false">C93/H93</f>
        <v>23.4842278789872</v>
      </c>
      <c r="J93" s="37" t="n">
        <f aca="false">J92+I93</f>
        <v>1952.33902206175</v>
      </c>
      <c r="K93" s="35" t="n">
        <f aca="false">J93*H93</f>
        <v>831340.520166142</v>
      </c>
      <c r="L93" s="35" t="n">
        <f aca="false">L92+C93</f>
        <v>554000</v>
      </c>
    </row>
    <row r="94" customFormat="false" ht="15" hidden="false" customHeight="false" outlineLevel="0" collapsed="false">
      <c r="A94" s="33" t="n">
        <v>90</v>
      </c>
      <c r="B94" s="34" t="n">
        <f aca="false">EDATE(B93,1)</f>
        <v>48366</v>
      </c>
      <c r="C94" s="35" t="n">
        <f aca="false">Assumptions!$C$6+(YEAR(B94)-YEAR(Assumptions!$C$4))*Assumptions!$C$7</f>
        <v>10000</v>
      </c>
      <c r="D94" s="36" t="n">
        <f aca="false">Assumptions!$D$21*(1+Assumptions!$F$21)^((B94-Assumptions!$C$4)/365)</f>
        <v>502.274149292294</v>
      </c>
      <c r="E94" s="37" t="n">
        <f aca="false">C94/D94</f>
        <v>19.909445895414</v>
      </c>
      <c r="F94" s="37" t="n">
        <f aca="false">F93+E94</f>
        <v>1718.35334829735</v>
      </c>
      <c r="G94" s="35" t="n">
        <f aca="false">F94*D94</f>
        <v>863084.466199618</v>
      </c>
      <c r="H94" s="36" t="n">
        <f aca="false">Assumptions!$D$22*(1+Assumptions!$F$22)^((B94-Assumptions!$C$4)/365)</f>
        <v>430.428574272593</v>
      </c>
      <c r="I94" s="37" t="n">
        <f aca="false">C94/H94</f>
        <v>23.2326583264125</v>
      </c>
      <c r="J94" s="37" t="n">
        <f aca="false">J93+I94</f>
        <v>1975.57168038816</v>
      </c>
      <c r="K94" s="35" t="n">
        <f aca="false">J94*H94</f>
        <v>850342.501762785</v>
      </c>
      <c r="L94" s="35" t="n">
        <f aca="false">L93+C94</f>
        <v>564000</v>
      </c>
    </row>
    <row r="95" customFormat="false" ht="15" hidden="false" customHeight="false" outlineLevel="0" collapsed="false">
      <c r="A95" s="38" t="n">
        <v>91</v>
      </c>
      <c r="B95" s="39" t="n">
        <f aca="false">EDATE(B94,1)</f>
        <v>48396</v>
      </c>
      <c r="C95" s="40" t="n">
        <f aca="false">Assumptions!$C$6+(YEAR(B95)-YEAR(Assumptions!$C$4))*Assumptions!$C$7</f>
        <v>10000</v>
      </c>
      <c r="D95" s="41" t="n">
        <f aca="false">Assumptions!$D$21*(1+Assumptions!$F$21)^((B95-Assumptions!$C$4)/365)</f>
        <v>507.712595698534</v>
      </c>
      <c r="E95" s="42" t="n">
        <f aca="false">C95/D95</f>
        <v>19.6961826133967</v>
      </c>
      <c r="F95" s="42" t="n">
        <f aca="false">F94+E95</f>
        <v>1738.04953091075</v>
      </c>
      <c r="G95" s="40" t="n">
        <f aca="false">F95*D95</f>
        <v>882429.638791317</v>
      </c>
      <c r="H95" s="41" t="n">
        <f aca="false">Assumptions!$D$22*(1+Assumptions!$F$22)^((B95-Assumptions!$C$4)/365)</f>
        <v>434.93823897033</v>
      </c>
      <c r="I95" s="42" t="n">
        <f aca="false">C95/H95</f>
        <v>22.9917701043577</v>
      </c>
      <c r="J95" s="42" t="n">
        <f aca="false">J94+I95</f>
        <v>1998.56345049252</v>
      </c>
      <c r="K95" s="40" t="n">
        <f aca="false">J95*H95</f>
        <v>869251.667627681</v>
      </c>
      <c r="L95" s="40" t="n">
        <f aca="false">L94+C95</f>
        <v>574000</v>
      </c>
    </row>
    <row r="96" customFormat="false" ht="15" hidden="false" customHeight="false" outlineLevel="0" collapsed="false">
      <c r="A96" s="38" t="n">
        <v>92</v>
      </c>
      <c r="B96" s="39" t="n">
        <f aca="false">EDATE(B95,1)</f>
        <v>48427</v>
      </c>
      <c r="C96" s="40" t="n">
        <f aca="false">Assumptions!$C$6+(YEAR(B96)-YEAR(Assumptions!$C$4))*Assumptions!$C$7</f>
        <v>10000</v>
      </c>
      <c r="D96" s="41" t="n">
        <f aca="false">Assumptions!$D$21*(1+Assumptions!$F$21)^((B96-Assumptions!$C$4)/365)</f>
        <v>513.394193636921</v>
      </c>
      <c r="E96" s="42" t="n">
        <f aca="false">C96/D96</f>
        <v>19.4782101627588</v>
      </c>
      <c r="F96" s="42" t="n">
        <f aca="false">F95+E96</f>
        <v>1757.52774107351</v>
      </c>
      <c r="G96" s="40" t="n">
        <f aca="false">F96*D96</f>
        <v>902304.537422953</v>
      </c>
      <c r="H96" s="41" t="n">
        <f aca="false">Assumptions!$D$22*(1+Assumptions!$F$22)^((B96-Assumptions!$C$4)/365)</f>
        <v>439.647868692341</v>
      </c>
      <c r="I96" s="42" t="n">
        <f aca="false">C96/H96</f>
        <v>22.7454758958421</v>
      </c>
      <c r="J96" s="42" t="n">
        <f aca="false">J95+I96</f>
        <v>2021.30892638836</v>
      </c>
      <c r="K96" s="40" t="n">
        <f aca="false">J96*H96</f>
        <v>888664.161455446</v>
      </c>
      <c r="L96" s="40" t="n">
        <f aca="false">L95+C96</f>
        <v>584000</v>
      </c>
    </row>
    <row r="97" customFormat="false" ht="15" hidden="false" customHeight="false" outlineLevel="0" collapsed="false">
      <c r="A97" s="38" t="n">
        <v>93</v>
      </c>
      <c r="B97" s="39" t="n">
        <f aca="false">EDATE(B96,1)</f>
        <v>48458</v>
      </c>
      <c r="C97" s="40" t="n">
        <f aca="false">Assumptions!$C$6+(YEAR(B97)-YEAR(Assumptions!$C$4))*Assumptions!$C$7</f>
        <v>10000</v>
      </c>
      <c r="D97" s="41" t="n">
        <f aca="false">Assumptions!$D$21*(1+Assumptions!$F$21)^((B97-Assumptions!$C$4)/365)</f>
        <v>519.139371946184</v>
      </c>
      <c r="E97" s="42" t="n">
        <f aca="false">C97/D97</f>
        <v>19.262649955659</v>
      </c>
      <c r="F97" s="42" t="n">
        <f aca="false">F96+E97</f>
        <v>1776.79039102917</v>
      </c>
      <c r="G97" s="40" t="n">
        <f aca="false">F97*D97</f>
        <v>922401.847678897</v>
      </c>
      <c r="H97" s="41" t="n">
        <f aca="false">Assumptions!$D$22*(1+Assumptions!$F$22)^((B97-Assumptions!$C$4)/365)</f>
        <v>444.408495567813</v>
      </c>
      <c r="I97" s="42" t="n">
        <f aca="false">C97/H97</f>
        <v>22.5018200590949</v>
      </c>
      <c r="J97" s="42" t="n">
        <f aca="false">J96+I97</f>
        <v>2043.81074644745</v>
      </c>
      <c r="K97" s="40" t="n">
        <f aca="false">J97*H97</f>
        <v>908286.859054041</v>
      </c>
      <c r="L97" s="40" t="n">
        <f aca="false">L96+C97</f>
        <v>594000</v>
      </c>
    </row>
    <row r="98" customFormat="false" ht="15" hidden="false" customHeight="false" outlineLevel="0" collapsed="false">
      <c r="A98" s="38" t="n">
        <v>94</v>
      </c>
      <c r="B98" s="39" t="n">
        <f aca="false">EDATE(B97,1)</f>
        <v>48488</v>
      </c>
      <c r="C98" s="40" t="n">
        <f aca="false">Assumptions!$C$6+(YEAR(B98)-YEAR(Assumptions!$C$4))*Assumptions!$C$7</f>
        <v>10000</v>
      </c>
      <c r="D98" s="41" t="n">
        <f aca="false">Assumptions!$D$21*(1+Assumptions!$F$21)^((B98-Assumptions!$C$4)/365)</f>
        <v>524.760429003723</v>
      </c>
      <c r="E98" s="42" t="n">
        <f aca="false">C98/D98</f>
        <v>19.0563149340078</v>
      </c>
      <c r="F98" s="42" t="n">
        <f aca="false">F97+E98</f>
        <v>1795.84670596318</v>
      </c>
      <c r="G98" s="40" t="n">
        <f aca="false">F98*D98</f>
        <v>942389.287846158</v>
      </c>
      <c r="H98" s="41" t="n">
        <f aca="false">Assumptions!$D$22*(1+Assumptions!$F$22)^((B98-Assumptions!$C$4)/365)</f>
        <v>449.064629996675</v>
      </c>
      <c r="I98" s="42" t="n">
        <f aca="false">C98/H98</f>
        <v>22.2685095463298</v>
      </c>
      <c r="J98" s="42" t="n">
        <f aca="false">J97+I98</f>
        <v>2066.07925599378</v>
      </c>
      <c r="K98" s="40" t="n">
        <f aca="false">J98*H98</f>
        <v>927803.116636654</v>
      </c>
      <c r="L98" s="40" t="n">
        <f aca="false">L97+C98</f>
        <v>604000</v>
      </c>
    </row>
    <row r="99" customFormat="false" ht="15" hidden="false" customHeight="false" outlineLevel="0" collapsed="false">
      <c r="A99" s="38" t="n">
        <v>95</v>
      </c>
      <c r="B99" s="39" t="n">
        <f aca="false">EDATE(B98,1)</f>
        <v>48519</v>
      </c>
      <c r="C99" s="40" t="n">
        <f aca="false">Assumptions!$C$6+(YEAR(B99)-YEAR(Assumptions!$C$4))*Assumptions!$C$7</f>
        <v>10000</v>
      </c>
      <c r="D99" s="41" t="n">
        <f aca="false">Assumptions!$D$21*(1+Assumptions!$F$21)^((B99-Assumptions!$C$4)/365)</f>
        <v>530.632802068394</v>
      </c>
      <c r="E99" s="42" t="n">
        <f aca="false">C99/D99</f>
        <v>18.8454237299697</v>
      </c>
      <c r="F99" s="42" t="n">
        <f aca="false">F98+E99</f>
        <v>1814.69212969315</v>
      </c>
      <c r="G99" s="40" t="n">
        <f aca="false">F99*D99</f>
        <v>962935.169670535</v>
      </c>
      <c r="H99" s="41" t="n">
        <f aca="false">Assumptions!$D$22*(1+Assumptions!$F$22)^((B99-Assumptions!$C$4)/365)</f>
        <v>453.92722412853</v>
      </c>
      <c r="I99" s="42" t="n">
        <f aca="false">C99/H99</f>
        <v>22.0299631052058</v>
      </c>
      <c r="J99" s="42" t="n">
        <f aca="false">J98+I99</f>
        <v>2088.10921909899</v>
      </c>
      <c r="K99" s="40" t="n">
        <f aca="false">J99*H99</f>
        <v>947849.621502796</v>
      </c>
      <c r="L99" s="40" t="n">
        <f aca="false">L98+C99</f>
        <v>614000</v>
      </c>
    </row>
    <row r="100" customFormat="false" ht="15" hidden="false" customHeight="false" outlineLevel="0" collapsed="false">
      <c r="A100" s="38" t="n">
        <v>96</v>
      </c>
      <c r="B100" s="39" t="n">
        <f aca="false">EDATE(B99,1)</f>
        <v>48549</v>
      </c>
      <c r="C100" s="40" t="n">
        <f aca="false">Assumptions!$C$6+(YEAR(B100)-YEAR(Assumptions!$C$4))*Assumptions!$C$7</f>
        <v>10000</v>
      </c>
      <c r="D100" s="41" t="n">
        <f aca="false">Assumptions!$D$21*(1+Assumptions!$F$21)^((B100-Assumptions!$C$4)/365)</f>
        <v>536.378305912277</v>
      </c>
      <c r="E100" s="42" t="n">
        <f aca="false">C100/D100</f>
        <v>18.643557895191</v>
      </c>
      <c r="F100" s="42" t="n">
        <f aca="false">F99+E100</f>
        <v>1833.33568758834</v>
      </c>
      <c r="G100" s="40" t="n">
        <f aca="false">F100*D100</f>
        <v>983361.490277151</v>
      </c>
      <c r="H100" s="41" t="n">
        <f aca="false">Assumptions!$D$22*(1+Assumptions!$F$22)^((B100-Assumptions!$C$4)/365)</f>
        <v>458.683087703465</v>
      </c>
      <c r="I100" s="42" t="n">
        <f aca="false">C100/H100</f>
        <v>21.8015450494763</v>
      </c>
      <c r="J100" s="42" t="n">
        <f aca="false">J99+I100</f>
        <v>2109.91076414846</v>
      </c>
      <c r="K100" s="40" t="n">
        <f aca="false">J100*H100</f>
        <v>967780.384078395</v>
      </c>
      <c r="L100" s="40" t="n">
        <f aca="false">L99+C100</f>
        <v>624000</v>
      </c>
    </row>
    <row r="101" customFormat="false" ht="15" hidden="false" customHeight="false" outlineLevel="0" collapsed="false">
      <c r="A101" s="33" t="n">
        <v>97</v>
      </c>
      <c r="B101" s="34" t="n">
        <f aca="false">EDATE(B100,1)</f>
        <v>48580</v>
      </c>
      <c r="C101" s="35" t="n">
        <f aca="false">Assumptions!$C$6+(YEAR(B101)-YEAR(Assumptions!$C$4))*Assumptions!$C$7</f>
        <v>11000</v>
      </c>
      <c r="D101" s="36" t="n">
        <f aca="false">Assumptions!$D$21*(1+Assumptions!$F$21)^((B101-Assumptions!$C$4)/365)</f>
        <v>542.380689746922</v>
      </c>
      <c r="E101" s="37" t="n">
        <f aca="false">C101/D101</f>
        <v>20.2809580207081</v>
      </c>
      <c r="F101" s="37" t="n">
        <f aca="false">F100+E101</f>
        <v>1853.61664560904</v>
      </c>
      <c r="G101" s="35" t="n">
        <f aca="false">F101*D101</f>
        <v>1005365.87477181</v>
      </c>
      <c r="H101" s="36" t="n">
        <f aca="false">Assumptions!$D$22*(1+Assumptions!$F$22)^((B101-Assumptions!$C$4)/365)</f>
        <v>463.649833115288</v>
      </c>
      <c r="I101" s="37" t="n">
        <f aca="false">C101/H101</f>
        <v>23.7248009474961</v>
      </c>
      <c r="J101" s="37" t="n">
        <f aca="false">J100+I101</f>
        <v>2133.63556509596</v>
      </c>
      <c r="K101" s="35" t="n">
        <f aca="false">J101*H101</f>
        <v>989259.773685585</v>
      </c>
      <c r="L101" s="35" t="n">
        <f aca="false">L100+C101</f>
        <v>635000</v>
      </c>
    </row>
    <row r="102" customFormat="false" ht="15" hidden="false" customHeight="false" outlineLevel="0" collapsed="false">
      <c r="A102" s="33" t="n">
        <v>98</v>
      </c>
      <c r="B102" s="34" t="n">
        <f aca="false">EDATE(B101,1)</f>
        <v>48611</v>
      </c>
      <c r="C102" s="35" t="n">
        <f aca="false">Assumptions!$C$6+(YEAR(B102)-YEAR(Assumptions!$C$4))*Assumptions!$C$7</f>
        <v>11000</v>
      </c>
      <c r="D102" s="36" t="n">
        <f aca="false">Assumptions!$D$21*(1+Assumptions!$F$21)^((B102-Assumptions!$C$4)/365)</f>
        <v>548.450243732374</v>
      </c>
      <c r="E102" s="37" t="n">
        <f aca="false">C102/D102</f>
        <v>20.0565140150938</v>
      </c>
      <c r="F102" s="37" t="n">
        <f aca="false">F101+E102</f>
        <v>1873.67315962414</v>
      </c>
      <c r="G102" s="35" t="n">
        <f aca="false">F102*D102</f>
        <v>1027616.50107067</v>
      </c>
      <c r="H102" s="36" t="n">
        <f aca="false">Assumptions!$D$22*(1+Assumptions!$F$22)^((B102-Assumptions!$C$4)/365)</f>
        <v>468.670359799295</v>
      </c>
      <c r="I102" s="37" t="n">
        <f aca="false">C102/H102</f>
        <v>23.4706543095891</v>
      </c>
      <c r="J102" s="37" t="n">
        <f aca="false">J101+I102</f>
        <v>2157.10621940555</v>
      </c>
      <c r="K102" s="35" t="n">
        <f aca="false">J102*H102</f>
        <v>1010971.7479741</v>
      </c>
      <c r="L102" s="35" t="n">
        <f aca="false">L101+C102</f>
        <v>646000</v>
      </c>
    </row>
    <row r="103" customFormat="false" ht="15" hidden="false" customHeight="false" outlineLevel="0" collapsed="false">
      <c r="A103" s="33" t="n">
        <v>99</v>
      </c>
      <c r="B103" s="34" t="n">
        <f aca="false">EDATE(B102,1)</f>
        <v>48639</v>
      </c>
      <c r="C103" s="35" t="n">
        <f aca="false">Assumptions!$C$6+(YEAR(B103)-YEAR(Assumptions!$C$4))*Assumptions!$C$7</f>
        <v>11000</v>
      </c>
      <c r="D103" s="36" t="n">
        <f aca="false">Assumptions!$D$21*(1+Assumptions!$F$21)^((B103-Assumptions!$C$4)/365)</f>
        <v>553.990780771937</v>
      </c>
      <c r="E103" s="37" t="n">
        <f aca="false">C103/D103</f>
        <v>19.8559260944243</v>
      </c>
      <c r="F103" s="37" t="n">
        <f aca="false">F102+E103</f>
        <v>1893.52908571856</v>
      </c>
      <c r="G103" s="35" t="n">
        <f aca="false">F103*D103</f>
        <v>1048997.6566116</v>
      </c>
      <c r="H103" s="36" t="n">
        <f aca="false">Assumptions!$D$22*(1+Assumptions!$F$22)^((B103-Assumptions!$C$4)/365)</f>
        <v>473.251739488967</v>
      </c>
      <c r="I103" s="37" t="n">
        <f aca="false">C103/H103</f>
        <v>23.2434433561262</v>
      </c>
      <c r="J103" s="37" t="n">
        <f aca="false">J102+I103</f>
        <v>2180.34966276168</v>
      </c>
      <c r="K103" s="35" t="n">
        <f aca="false">J103*H103</f>
        <v>1031854.27059614</v>
      </c>
      <c r="L103" s="35" t="n">
        <f aca="false">L102+C103</f>
        <v>657000</v>
      </c>
    </row>
    <row r="104" customFormat="false" ht="15" hidden="false" customHeight="false" outlineLevel="0" collapsed="false">
      <c r="A104" s="33" t="n">
        <v>100</v>
      </c>
      <c r="B104" s="34" t="n">
        <f aca="false">EDATE(B103,1)</f>
        <v>48670</v>
      </c>
      <c r="C104" s="35" t="n">
        <f aca="false">Assumptions!$C$6+(YEAR(B104)-YEAR(Assumptions!$C$4))*Assumptions!$C$7</f>
        <v>11000</v>
      </c>
      <c r="D104" s="36" t="n">
        <f aca="false">Assumptions!$D$21*(1+Assumptions!$F$21)^((B104-Assumptions!$C$4)/365)</f>
        <v>560.190258398818</v>
      </c>
      <c r="E104" s="37" t="n">
        <f aca="false">C104/D104</f>
        <v>19.6361858048748</v>
      </c>
      <c r="F104" s="37" t="n">
        <f aca="false">F103+E104</f>
        <v>1913.16527152344</v>
      </c>
      <c r="G104" s="35" t="n">
        <f aca="false">F104*D104</f>
        <v>1071736.54781436</v>
      </c>
      <c r="H104" s="36" t="n">
        <f aca="false">Assumptions!$D$22*(1+Assumptions!$F$22)^((B104-Assumptions!$C$4)/365)</f>
        <v>478.376238230598</v>
      </c>
      <c r="I104" s="37" t="n">
        <f aca="false">C104/H104</f>
        <v>22.9944531540413</v>
      </c>
      <c r="J104" s="37" t="n">
        <f aca="false">J103+I104</f>
        <v>2203.34411591572</v>
      </c>
      <c r="K104" s="35" t="n">
        <f aca="false">J104*H104</f>
        <v>1054027.46969928</v>
      </c>
      <c r="L104" s="35" t="n">
        <f aca="false">L103+C104</f>
        <v>668000</v>
      </c>
    </row>
    <row r="105" customFormat="false" ht="15" hidden="false" customHeight="false" outlineLevel="0" collapsed="false">
      <c r="A105" s="33" t="n">
        <v>101</v>
      </c>
      <c r="B105" s="34" t="n">
        <f aca="false">EDATE(B104,1)</f>
        <v>48700</v>
      </c>
      <c r="C105" s="35" t="n">
        <f aca="false">Assumptions!$C$6+(YEAR(B105)-YEAR(Assumptions!$C$4))*Assumptions!$C$7</f>
        <v>11000</v>
      </c>
      <c r="D105" s="36" t="n">
        <f aca="false">Assumptions!$D$21*(1+Assumptions!$F$21)^((B105-Assumptions!$C$4)/365)</f>
        <v>566.255799900192</v>
      </c>
      <c r="E105" s="37" t="n">
        <f aca="false">C105/D105</f>
        <v>19.4258495929558</v>
      </c>
      <c r="F105" s="37" t="n">
        <f aca="false">F104+E105</f>
        <v>1932.59112111639</v>
      </c>
      <c r="G105" s="35" t="n">
        <f aca="false">F105*D105</f>
        <v>1094340.93116777</v>
      </c>
      <c r="H105" s="36" t="n">
        <f aca="false">Assumptions!$D$22*(1+Assumptions!$F$22)^((B105-Assumptions!$C$4)/365)</f>
        <v>483.388257791406</v>
      </c>
      <c r="I105" s="37" t="n">
        <f aca="false">C105/H105</f>
        <v>22.7560347664605</v>
      </c>
      <c r="J105" s="37" t="n">
        <f aca="false">J104+I105</f>
        <v>2226.10015068218</v>
      </c>
      <c r="K105" s="35" t="n">
        <f aca="false">J105*H105</f>
        <v>1076070.67350744</v>
      </c>
      <c r="L105" s="35" t="n">
        <f aca="false">L104+C105</f>
        <v>679000</v>
      </c>
    </row>
    <row r="106" customFormat="false" ht="15" hidden="false" customHeight="false" outlineLevel="0" collapsed="false">
      <c r="A106" s="33" t="n">
        <v>102</v>
      </c>
      <c r="B106" s="34" t="n">
        <f aca="false">EDATE(B105,1)</f>
        <v>48731</v>
      </c>
      <c r="C106" s="35" t="n">
        <f aca="false">Assumptions!$C$6+(YEAR(B106)-YEAR(Assumptions!$C$4))*Assumptions!$C$7</f>
        <v>11000</v>
      </c>
      <c r="D106" s="36" t="n">
        <f aca="false">Assumptions!$D$21*(1+Assumptions!$F$21)^((B106-Assumptions!$C$4)/365)</f>
        <v>572.592530193215</v>
      </c>
      <c r="E106" s="37" t="n">
        <f aca="false">C106/D106</f>
        <v>19.2108688464521</v>
      </c>
      <c r="F106" s="37" t="n">
        <f aca="false">F105+E106</f>
        <v>1951.80198996285</v>
      </c>
      <c r="G106" s="35" t="n">
        <f aca="false">F106*D106</f>
        <v>1117587.23986898</v>
      </c>
      <c r="H106" s="36" t="n">
        <f aca="false">Assumptions!$D$22*(1+Assumptions!$F$22)^((B106-Assumptions!$C$4)/365)</f>
        <v>488.622517514247</v>
      </c>
      <c r="I106" s="37" t="n">
        <f aca="false">C106/H106</f>
        <v>22.5122658201671</v>
      </c>
      <c r="J106" s="37" t="n">
        <f aca="false">J105+I106</f>
        <v>2248.61241650234</v>
      </c>
      <c r="K106" s="35" t="n">
        <f aca="false">J106*H106</f>
        <v>1098722.65986517</v>
      </c>
      <c r="L106" s="35" t="n">
        <f aca="false">L105+C106</f>
        <v>690000</v>
      </c>
    </row>
    <row r="107" customFormat="false" ht="15" hidden="false" customHeight="false" outlineLevel="0" collapsed="false">
      <c r="A107" s="38" t="n">
        <v>103</v>
      </c>
      <c r="B107" s="39" t="n">
        <f aca="false">EDATE(B106,1)</f>
        <v>48761</v>
      </c>
      <c r="C107" s="40" t="n">
        <f aca="false">Assumptions!$C$6+(YEAR(B107)-YEAR(Assumptions!$C$4))*Assumptions!$C$7</f>
        <v>11000</v>
      </c>
      <c r="D107" s="41" t="n">
        <f aca="false">Assumptions!$D$21*(1+Assumptions!$F$21)^((B107-Assumptions!$C$4)/365)</f>
        <v>578.792359096329</v>
      </c>
      <c r="E107" s="42" t="n">
        <f aca="false">C107/D107</f>
        <v>19.0050884866109</v>
      </c>
      <c r="F107" s="42" t="n">
        <f aca="false">F106+E107</f>
        <v>1970.80707844946</v>
      </c>
      <c r="G107" s="40" t="n">
        <f aca="false">F107*D107</f>
        <v>1140688.0782595</v>
      </c>
      <c r="H107" s="41" t="n">
        <f aca="false">Assumptions!$D$22*(1+Assumptions!$F$22)^((B107-Assumptions!$C$4)/365)</f>
        <v>493.741888879119</v>
      </c>
      <c r="I107" s="42" t="n">
        <f aca="false">C107/H107</f>
        <v>22.2788470003466</v>
      </c>
      <c r="J107" s="42" t="n">
        <f aca="false">J106+I107</f>
        <v>2270.89126350269</v>
      </c>
      <c r="K107" s="40" t="n">
        <f aca="false">J107*H107</f>
        <v>1121234.14188091</v>
      </c>
      <c r="L107" s="40" t="n">
        <f aca="false">L106+C107</f>
        <v>701000</v>
      </c>
    </row>
    <row r="108" customFormat="false" ht="15" hidden="false" customHeight="false" outlineLevel="0" collapsed="false">
      <c r="A108" s="38" t="n">
        <v>104</v>
      </c>
      <c r="B108" s="39" t="n">
        <f aca="false">EDATE(B107,1)</f>
        <v>48792</v>
      </c>
      <c r="C108" s="40" t="n">
        <f aca="false">Assumptions!$C$6+(YEAR(B108)-YEAR(Assumptions!$C$4))*Assumptions!$C$7</f>
        <v>11000</v>
      </c>
      <c r="D108" s="41" t="n">
        <f aca="false">Assumptions!$D$21*(1+Assumptions!$F$21)^((B108-Assumptions!$C$4)/365)</f>
        <v>585.26938074609</v>
      </c>
      <c r="E108" s="42" t="n">
        <f aca="false">C108/D108</f>
        <v>18.7947641921356</v>
      </c>
      <c r="F108" s="42" t="n">
        <f aca="false">F107+E108</f>
        <v>1989.60184264159</v>
      </c>
      <c r="G108" s="40" t="n">
        <f aca="false">F108*D108</f>
        <v>1164453.03837412</v>
      </c>
      <c r="H108" s="41" t="n">
        <f aca="false">Assumptions!$D$22*(1+Assumptions!$F$22)^((B108-Assumptions!$C$4)/365)</f>
        <v>499.088260539546</v>
      </c>
      <c r="I108" s="42" t="n">
        <f aca="false">C108/H108</f>
        <v>22.0401898215524</v>
      </c>
      <c r="J108" s="42" t="n">
        <f aca="false">J107+I108</f>
        <v>2292.93145332424</v>
      </c>
      <c r="K108" s="40" t="n">
        <f aca="false">J108*H108</f>
        <v>1144375.17057601</v>
      </c>
      <c r="L108" s="40" t="n">
        <f aca="false">L107+C108</f>
        <v>712000</v>
      </c>
    </row>
    <row r="109" customFormat="false" ht="15" hidden="false" customHeight="false" outlineLevel="0" collapsed="false">
      <c r="A109" s="38" t="n">
        <v>105</v>
      </c>
      <c r="B109" s="39" t="n">
        <f aca="false">EDATE(B108,1)</f>
        <v>48823</v>
      </c>
      <c r="C109" s="40" t="n">
        <f aca="false">Assumptions!$C$6+(YEAR(B109)-YEAR(Assumptions!$C$4))*Assumptions!$C$7</f>
        <v>11000</v>
      </c>
      <c r="D109" s="41" t="n">
        <f aca="false">Assumptions!$D$21*(1+Assumptions!$F$21)^((B109-Assumptions!$C$4)/365)</f>
        <v>591.81888401865</v>
      </c>
      <c r="E109" s="42" t="n">
        <f aca="false">C109/D109</f>
        <v>18.5867675010745</v>
      </c>
      <c r="F109" s="42" t="n">
        <f aca="false">F108+E109</f>
        <v>2008.18861014267</v>
      </c>
      <c r="G109" s="40" t="n">
        <f aca="false">F109*D109</f>
        <v>1188483.9421536</v>
      </c>
      <c r="H109" s="41" t="n">
        <f aca="false">Assumptions!$D$22*(1+Assumptions!$F$22)^((B109-Assumptions!$C$4)/365)</f>
        <v>504.492524168581</v>
      </c>
      <c r="I109" s="42" t="n">
        <f aca="false">C109/H109</f>
        <v>21.8040892045493</v>
      </c>
      <c r="J109" s="42" t="n">
        <f aca="false">J108+I109</f>
        <v>2314.73554252879</v>
      </c>
      <c r="K109" s="40" t="n">
        <f aca="false">J109*H109</f>
        <v>1167766.77663308</v>
      </c>
      <c r="L109" s="40" t="n">
        <f aca="false">L108+C109</f>
        <v>723000</v>
      </c>
    </row>
    <row r="110" customFormat="false" ht="15" hidden="false" customHeight="false" outlineLevel="0" collapsed="false">
      <c r="A110" s="38" t="n">
        <v>106</v>
      </c>
      <c r="B110" s="39" t="n">
        <f aca="false">EDATE(B109,1)</f>
        <v>48853</v>
      </c>
      <c r="C110" s="40" t="n">
        <f aca="false">Assumptions!$C$6+(YEAR(B110)-YEAR(Assumptions!$C$4))*Assumptions!$C$7</f>
        <v>11000</v>
      </c>
      <c r="D110" s="41" t="n">
        <f aca="false">Assumptions!$D$21*(1+Assumptions!$F$21)^((B110-Assumptions!$C$4)/365)</f>
        <v>598.226889064244</v>
      </c>
      <c r="E110" s="42" t="n">
        <f aca="false">C110/D110</f>
        <v>18.3876723047444</v>
      </c>
      <c r="F110" s="42" t="n">
        <f aca="false">F109+E110</f>
        <v>2026.57628244741</v>
      </c>
      <c r="G110" s="40" t="n">
        <f aca="false">F110*D110</f>
        <v>1212352.42489989</v>
      </c>
      <c r="H110" s="41" t="n">
        <f aca="false">Assumptions!$D$22*(1+Assumptions!$F$22)^((B110-Assumptions!$C$4)/365)</f>
        <v>509.778167972226</v>
      </c>
      <c r="I110" s="42" t="n">
        <f aca="false">C110/H110</f>
        <v>21.5780131262885</v>
      </c>
      <c r="J110" s="42" t="n">
        <f aca="false">J109+I110</f>
        <v>2336.31355565508</v>
      </c>
      <c r="K110" s="40" t="n">
        <f aca="false">J110*H110</f>
        <v>1191001.64421052</v>
      </c>
      <c r="L110" s="40" t="n">
        <f aca="false">L109+C110</f>
        <v>734000</v>
      </c>
    </row>
    <row r="111" customFormat="false" ht="15" hidden="false" customHeight="false" outlineLevel="0" collapsed="false">
      <c r="A111" s="38" t="n">
        <v>107</v>
      </c>
      <c r="B111" s="39" t="n">
        <f aca="false">EDATE(B110,1)</f>
        <v>48884</v>
      </c>
      <c r="C111" s="40" t="n">
        <f aca="false">Assumptions!$C$6+(YEAR(B111)-YEAR(Assumptions!$C$4))*Assumptions!$C$7</f>
        <v>11000</v>
      </c>
      <c r="D111" s="41" t="n">
        <f aca="false">Assumptions!$D$21*(1+Assumptions!$F$21)^((B111-Assumptions!$C$4)/365)</f>
        <v>604.921394357969</v>
      </c>
      <c r="E111" s="42" t="n">
        <f aca="false">C111/D111</f>
        <v>18.184180792076</v>
      </c>
      <c r="F111" s="42" t="n">
        <f aca="false">F110+E111</f>
        <v>2044.76046323949</v>
      </c>
      <c r="G111" s="40" t="n">
        <f aca="false">F111*D111</f>
        <v>1236919.35055088</v>
      </c>
      <c r="H111" s="41" t="n">
        <f aca="false">Assumptions!$D$22*(1+Assumptions!$F$22)^((B111-Assumptions!$C$4)/365)</f>
        <v>515.298184830707</v>
      </c>
      <c r="I111" s="42" t="n">
        <f aca="false">C111/H111</f>
        <v>21.3468634740366</v>
      </c>
      <c r="J111" s="42" t="n">
        <f aca="false">J110+I111</f>
        <v>2357.66041912912</v>
      </c>
      <c r="K111" s="40" t="n">
        <f aca="false">J111*H111</f>
        <v>1214898.13442444</v>
      </c>
      <c r="L111" s="40" t="n">
        <f aca="false">L110+C111</f>
        <v>745000</v>
      </c>
    </row>
    <row r="112" customFormat="false" ht="15" hidden="false" customHeight="false" outlineLevel="0" collapsed="false">
      <c r="A112" s="38" t="n">
        <v>108</v>
      </c>
      <c r="B112" s="39" t="n">
        <f aca="false">EDATE(B111,1)</f>
        <v>48914</v>
      </c>
      <c r="C112" s="40" t="n">
        <f aca="false">Assumptions!$C$6+(YEAR(B112)-YEAR(Assumptions!$C$4))*Assumptions!$C$7</f>
        <v>11000</v>
      </c>
      <c r="D112" s="41" t="n">
        <f aca="false">Assumptions!$D$21*(1+Assumptions!$F$21)^((B112-Assumptions!$C$4)/365)</f>
        <v>611.471268739996</v>
      </c>
      <c r="E112" s="42" t="n">
        <f aca="false">C112/D112</f>
        <v>17.9893979690439</v>
      </c>
      <c r="F112" s="42" t="n">
        <f aca="false">F111+E112</f>
        <v>2062.74986120853</v>
      </c>
      <c r="G112" s="40" t="n">
        <f aca="false">F112*D112</f>
        <v>1261312.27472643</v>
      </c>
      <c r="H112" s="41" t="n">
        <f aca="false">Assumptions!$D$22*(1+Assumptions!$F$22)^((B112-Assumptions!$C$4)/365)</f>
        <v>520.697041160974</v>
      </c>
      <c r="I112" s="42" t="n">
        <f aca="false">C112/H112</f>
        <v>21.1255281487174</v>
      </c>
      <c r="J112" s="42" t="n">
        <f aca="false">J111+I112</f>
        <v>2378.78594727783</v>
      </c>
      <c r="K112" s="40" t="n">
        <f aca="false">J112*H112</f>
        <v>1238626.80430287</v>
      </c>
      <c r="L112" s="40" t="n">
        <f aca="false">L111+C112</f>
        <v>756000</v>
      </c>
    </row>
    <row r="113" customFormat="false" ht="15" hidden="false" customHeight="false" outlineLevel="0" collapsed="false">
      <c r="A113" s="33" t="n">
        <v>109</v>
      </c>
      <c r="B113" s="34" t="n">
        <f aca="false">EDATE(B112,1)</f>
        <v>48945</v>
      </c>
      <c r="C113" s="35" t="n">
        <f aca="false">Assumptions!$C$6+(YEAR(B113)-YEAR(Assumptions!$C$4))*Assumptions!$C$7</f>
        <v>12000</v>
      </c>
      <c r="D113" s="36" t="n">
        <f aca="false">Assumptions!$D$21*(1+Assumptions!$F$21)^((B113-Assumptions!$C$4)/365)</f>
        <v>618.313986311491</v>
      </c>
      <c r="E113" s="37" t="n">
        <f aca="false">C113/D113</f>
        <v>19.4076153308211</v>
      </c>
      <c r="F113" s="37" t="n">
        <f aca="false">F112+E113</f>
        <v>2082.15747653935</v>
      </c>
      <c r="G113" s="35" t="n">
        <f aca="false">F113*D113</f>
        <v>1287427.08944732</v>
      </c>
      <c r="H113" s="36" t="n">
        <f aca="false">Assumptions!$D$22*(1+Assumptions!$F$22)^((B113-Assumptions!$C$4)/365)</f>
        <v>526.335290552475</v>
      </c>
      <c r="I113" s="37" t="n">
        <f aca="false">C113/H113</f>
        <v>22.7991552445667</v>
      </c>
      <c r="J113" s="37" t="n">
        <f aca="false">J112+I113</f>
        <v>2401.5851025224</v>
      </c>
      <c r="K113" s="35" t="n">
        <f aca="false">J113*H113</f>
        <v>1264038.99272262</v>
      </c>
      <c r="L113" s="35" t="n">
        <f aca="false">L112+C113</f>
        <v>768000</v>
      </c>
    </row>
    <row r="114" customFormat="false" ht="15" hidden="false" customHeight="false" outlineLevel="0" collapsed="false">
      <c r="A114" s="33" t="n">
        <v>110</v>
      </c>
      <c r="B114" s="34" t="n">
        <f aca="false">EDATE(B113,1)</f>
        <v>48976</v>
      </c>
      <c r="C114" s="35" t="n">
        <f aca="false">Assumptions!$C$6+(YEAR(B114)-YEAR(Assumptions!$C$4))*Assumptions!$C$7</f>
        <v>12000</v>
      </c>
      <c r="D114" s="36" t="n">
        <f aca="false">Assumptions!$D$21*(1+Assumptions!$F$21)^((B114-Assumptions!$C$4)/365)</f>
        <v>625.233277854907</v>
      </c>
      <c r="E114" s="37" t="n">
        <f aca="false">C114/D114</f>
        <v>19.1928363780802</v>
      </c>
      <c r="F114" s="37" t="n">
        <f aca="false">F113+E114</f>
        <v>2101.35031291743</v>
      </c>
      <c r="G114" s="35" t="n">
        <f aca="false">F114*D114</f>
        <v>1313834.1440668</v>
      </c>
      <c r="H114" s="36" t="n">
        <f aca="false">Assumptions!$D$22*(1+Assumptions!$F$22)^((B114-Assumptions!$C$4)/365)</f>
        <v>532.03459244416</v>
      </c>
      <c r="I114" s="37" t="n">
        <f aca="false">C114/H114</f>
        <v>22.5549243797704</v>
      </c>
      <c r="J114" s="37" t="n">
        <f aca="false">J113+I114</f>
        <v>2424.14002690217</v>
      </c>
      <c r="K114" s="35" t="n">
        <f aca="false">J114*H114</f>
        <v>1289726.35124047</v>
      </c>
      <c r="L114" s="35" t="n">
        <f aca="false">L113+C114</f>
        <v>780000</v>
      </c>
    </row>
    <row r="115" customFormat="false" ht="15" hidden="false" customHeight="false" outlineLevel="0" collapsed="false">
      <c r="A115" s="33" t="n">
        <v>111</v>
      </c>
      <c r="B115" s="34" t="n">
        <f aca="false">EDATE(B114,1)</f>
        <v>49004</v>
      </c>
      <c r="C115" s="35" t="n">
        <f aca="false">Assumptions!$C$6+(YEAR(B115)-YEAR(Assumptions!$C$4))*Assumptions!$C$7</f>
        <v>12000</v>
      </c>
      <c r="D115" s="36" t="n">
        <f aca="false">Assumptions!$D$21*(1+Assumptions!$F$21)^((B115-Assumptions!$C$4)/365)</f>
        <v>631.549490080008</v>
      </c>
      <c r="E115" s="37" t="n">
        <f aca="false">C115/D115</f>
        <v>19.0008862147601</v>
      </c>
      <c r="F115" s="37" t="n">
        <f aca="false">F114+E115</f>
        <v>2120.35119913219</v>
      </c>
      <c r="G115" s="35" t="n">
        <f aca="false">F115*D115</f>
        <v>1339106.71860247</v>
      </c>
      <c r="H115" s="36" t="n">
        <f aca="false">Assumptions!$D$22*(1+Assumptions!$F$22)^((B115-Assumptions!$C$4)/365)</f>
        <v>537.235374667875</v>
      </c>
      <c r="I115" s="37" t="n">
        <f aca="false">C115/H115</f>
        <v>22.3365782780379</v>
      </c>
      <c r="J115" s="37" t="n">
        <f aca="false">J114+I115</f>
        <v>2446.47660518021</v>
      </c>
      <c r="K115" s="35" t="n">
        <f aca="false">J115*H115</f>
        <v>1314333.77560018</v>
      </c>
      <c r="L115" s="35" t="n">
        <f aca="false">L114+C115</f>
        <v>792000</v>
      </c>
    </row>
    <row r="116" customFormat="false" ht="15" hidden="false" customHeight="false" outlineLevel="0" collapsed="false">
      <c r="A116" s="33" t="n">
        <v>112</v>
      </c>
      <c r="B116" s="34" t="n">
        <f aca="false">EDATE(B115,1)</f>
        <v>49035</v>
      </c>
      <c r="C116" s="35" t="n">
        <f aca="false">Assumptions!$C$6+(YEAR(B116)-YEAR(Assumptions!$C$4))*Assumptions!$C$7</f>
        <v>12000</v>
      </c>
      <c r="D116" s="36" t="n">
        <f aca="false">Assumptions!$D$21*(1+Assumptions!$F$21)^((B116-Assumptions!$C$4)/365)</f>
        <v>638.616894574653</v>
      </c>
      <c r="E116" s="37" t="n">
        <f aca="false">C116/D116</f>
        <v>18.7906084257175</v>
      </c>
      <c r="F116" s="37" t="n">
        <f aca="false">F115+E116</f>
        <v>2139.14180755791</v>
      </c>
      <c r="G116" s="35" t="n">
        <f aca="false">F116*D116</f>
        <v>1366092.09819744</v>
      </c>
      <c r="H116" s="36" t="n">
        <f aca="false">Assumptions!$D$22*(1+Assumptions!$F$22)^((B116-Assumptions!$C$4)/365)</f>
        <v>543.052705639375</v>
      </c>
      <c r="I116" s="37" t="n">
        <f aca="false">C116/H116</f>
        <v>22.0973026658095</v>
      </c>
      <c r="J116" s="37" t="n">
        <f aca="false">J115+I116</f>
        <v>2468.57390784602</v>
      </c>
      <c r="K116" s="35" t="n">
        <f aca="false">J116*H116</f>
        <v>1340565.73972655</v>
      </c>
      <c r="L116" s="35" t="n">
        <f aca="false">L115+C116</f>
        <v>804000</v>
      </c>
    </row>
    <row r="117" customFormat="false" ht="15" hidden="false" customHeight="false" outlineLevel="0" collapsed="false">
      <c r="A117" s="33" t="n">
        <v>113</v>
      </c>
      <c r="B117" s="34" t="n">
        <f aca="false">EDATE(B116,1)</f>
        <v>49065</v>
      </c>
      <c r="C117" s="35" t="n">
        <f aca="false">Assumptions!$C$6+(YEAR(B117)-YEAR(Assumptions!$C$4))*Assumptions!$C$7</f>
        <v>12000</v>
      </c>
      <c r="D117" s="36" t="n">
        <f aca="false">Assumptions!$D$21*(1+Assumptions!$F$21)^((B117-Assumptions!$C$4)/365)</f>
        <v>645.531611886219</v>
      </c>
      <c r="E117" s="37" t="n">
        <f aca="false">C117/D117</f>
        <v>18.5893297540247</v>
      </c>
      <c r="F117" s="37" t="n">
        <f aca="false">F116+E117</f>
        <v>2157.73113731193</v>
      </c>
      <c r="G117" s="35" t="n">
        <f aca="false">F117*D117</f>
        <v>1392883.65908606</v>
      </c>
      <c r="H117" s="36" t="n">
        <f aca="false">Assumptions!$D$22*(1+Assumptions!$F$22)^((B117-Assumptions!$C$4)/365)</f>
        <v>548.742350244804</v>
      </c>
      <c r="I117" s="37" t="n">
        <f aca="false">C117/H117</f>
        <v>21.8681863986743</v>
      </c>
      <c r="J117" s="37" t="n">
        <f aca="false">J116+I117</f>
        <v>2490.44209424469</v>
      </c>
      <c r="K117" s="35" t="n">
        <f aca="false">J117*H117</f>
        <v>1366611.04794443</v>
      </c>
      <c r="L117" s="35" t="n">
        <f aca="false">L116+C117</f>
        <v>816000</v>
      </c>
    </row>
    <row r="118" customFormat="false" ht="15" hidden="false" customHeight="false" outlineLevel="0" collapsed="false">
      <c r="A118" s="33" t="n">
        <v>114</v>
      </c>
      <c r="B118" s="34" t="n">
        <f aca="false">EDATE(B117,1)</f>
        <v>49096</v>
      </c>
      <c r="C118" s="35" t="n">
        <f aca="false">Assumptions!$C$6+(YEAR(B118)-YEAR(Assumptions!$C$4))*Assumptions!$C$7</f>
        <v>12000</v>
      </c>
      <c r="D118" s="36" t="n">
        <f aca="false">Assumptions!$D$21*(1+Assumptions!$F$21)^((B118-Assumptions!$C$4)/365)</f>
        <v>652.755484420266</v>
      </c>
      <c r="E118" s="37" t="n">
        <f aca="false">C118/D118</f>
        <v>18.3836065516288</v>
      </c>
      <c r="F118" s="37" t="n">
        <f aca="false">F117+E118</f>
        <v>2176.11474386356</v>
      </c>
      <c r="G118" s="35" t="n">
        <f aca="false">F118*D118</f>
        <v>1420470.83378474</v>
      </c>
      <c r="H118" s="36" t="n">
        <f aca="false">Assumptions!$D$22*(1+Assumptions!$F$22)^((B118-Assumptions!$C$4)/365)</f>
        <v>554.684281882173</v>
      </c>
      <c r="I118" s="37" t="n">
        <f aca="false">C118/H118</f>
        <v>21.6339283299703</v>
      </c>
      <c r="J118" s="37" t="n">
        <f aca="false">J117+I118</f>
        <v>2512.07602257466</v>
      </c>
      <c r="K118" s="35" t="n">
        <f aca="false">J118*H118</f>
        <v>1393409.08461525</v>
      </c>
      <c r="L118" s="35" t="n">
        <f aca="false">L117+C118</f>
        <v>828000</v>
      </c>
    </row>
    <row r="119" customFormat="false" ht="15" hidden="false" customHeight="false" outlineLevel="0" collapsed="false">
      <c r="A119" s="38" t="n">
        <v>115</v>
      </c>
      <c r="B119" s="39" t="n">
        <f aca="false">EDATE(B118,1)</f>
        <v>49126</v>
      </c>
      <c r="C119" s="40" t="n">
        <f aca="false">Assumptions!$C$6+(YEAR(B119)-YEAR(Assumptions!$C$4))*Assumptions!$C$7</f>
        <v>12000</v>
      </c>
      <c r="D119" s="41" t="n">
        <f aca="false">Assumptions!$D$21*(1+Assumptions!$F$21)^((B119-Assumptions!$C$4)/365)</f>
        <v>659.823289369815</v>
      </c>
      <c r="E119" s="42" t="n">
        <f aca="false">C119/D119</f>
        <v>18.1866875469961</v>
      </c>
      <c r="F119" s="42" t="n">
        <f aca="false">F118+E119</f>
        <v>2194.30143141056</v>
      </c>
      <c r="G119" s="40" t="n">
        <f aca="false">F119*D119</f>
        <v>1447851.18834221</v>
      </c>
      <c r="H119" s="41" t="n">
        <f aca="false">Assumptions!$D$22*(1+Assumptions!$F$22)^((B119-Assumptions!$C$4)/365)</f>
        <v>560.495792255575</v>
      </c>
      <c r="I119" s="42" t="n">
        <f aca="false">C119/H119</f>
        <v>21.409616567698</v>
      </c>
      <c r="J119" s="42" t="n">
        <f aca="false">J118+I119</f>
        <v>2533.48563914236</v>
      </c>
      <c r="K119" s="40" t="n">
        <f aca="false">J119*H119</f>
        <v>1420008.04047922</v>
      </c>
      <c r="L119" s="40" t="n">
        <f aca="false">L118+C119</f>
        <v>840000</v>
      </c>
    </row>
    <row r="120" customFormat="false" ht="15" hidden="false" customHeight="false" outlineLevel="0" collapsed="false">
      <c r="A120" s="38" t="n">
        <v>116</v>
      </c>
      <c r="B120" s="39" t="n">
        <f aca="false">EDATE(B119,1)</f>
        <v>49157</v>
      </c>
      <c r="C120" s="40" t="n">
        <f aca="false">Assumptions!$C$6+(YEAR(B120)-YEAR(Assumptions!$C$4))*Assumptions!$C$7</f>
        <v>12000</v>
      </c>
      <c r="D120" s="41" t="n">
        <f aca="false">Assumptions!$D$21*(1+Assumptions!$F$21)^((B120-Assumptions!$C$4)/365)</f>
        <v>667.207094050542</v>
      </c>
      <c r="E120" s="42" t="n">
        <f aca="false">C120/D120</f>
        <v>17.9854202795556</v>
      </c>
      <c r="F120" s="42" t="n">
        <f aca="false">F119+E120</f>
        <v>2212.28685169012</v>
      </c>
      <c r="G120" s="40" t="n">
        <f aca="false">F120*D120</f>
        <v>1476053.48152238</v>
      </c>
      <c r="H120" s="41" t="n">
        <f aca="false">Assumptions!$D$22*(1+Assumptions!$F$22)^((B120-Assumptions!$C$4)/365)</f>
        <v>566.564993364493</v>
      </c>
      <c r="I120" s="42" t="n">
        <f aca="false">C120/H120</f>
        <v>21.1802708260162</v>
      </c>
      <c r="J120" s="42" t="n">
        <f aca="false">J119+I120</f>
        <v>2554.66590996838</v>
      </c>
      <c r="K120" s="40" t="n">
        <f aca="false">J120*H120</f>
        <v>1447384.27432973</v>
      </c>
      <c r="L120" s="40" t="n">
        <f aca="false">L119+C120</f>
        <v>852000</v>
      </c>
    </row>
    <row r="121" customFormat="false" ht="15" hidden="false" customHeight="false" outlineLevel="0" collapsed="false">
      <c r="A121" s="38" t="n">
        <v>117</v>
      </c>
      <c r="B121" s="39" t="n">
        <f aca="false">EDATE(B120,1)</f>
        <v>49188</v>
      </c>
      <c r="C121" s="40" t="n">
        <f aca="false">Assumptions!$C$6+(YEAR(B121)-YEAR(Assumptions!$C$4))*Assumptions!$C$7</f>
        <v>12000</v>
      </c>
      <c r="D121" s="41" t="n">
        <f aca="false">Assumptions!$D$21*(1+Assumptions!$F$21)^((B121-Assumptions!$C$4)/365)</f>
        <v>674.673527781261</v>
      </c>
      <c r="E121" s="42" t="n">
        <f aca="false">C121/D121</f>
        <v>17.7863803838033</v>
      </c>
      <c r="F121" s="42" t="n">
        <f aca="false">F120+E121</f>
        <v>2230.07323207392</v>
      </c>
      <c r="G121" s="40" t="n">
        <f aca="false">F121*D121</f>
        <v>1504571.37469387</v>
      </c>
      <c r="H121" s="41" t="n">
        <f aca="false">Assumptions!$D$22*(1+Assumptions!$F$22)^((B121-Assumptions!$C$4)/365)</f>
        <v>572.699913436174</v>
      </c>
      <c r="I121" s="42" t="n">
        <f aca="false">C121/H121</f>
        <v>20.9533818994324</v>
      </c>
      <c r="J121" s="42" t="n">
        <f aca="false">J120+I121</f>
        <v>2575.61929186781</v>
      </c>
      <c r="K121" s="40" t="n">
        <f aca="false">J121*H121</f>
        <v>1475056.94549723</v>
      </c>
      <c r="L121" s="40" t="n">
        <f aca="false">L120+C121</f>
        <v>864000</v>
      </c>
    </row>
    <row r="122" customFormat="false" ht="15" hidden="false" customHeight="false" outlineLevel="0" collapsed="false">
      <c r="A122" s="38" t="n">
        <v>118</v>
      </c>
      <c r="B122" s="39" t="n">
        <f aca="false">EDATE(B121,1)</f>
        <v>49218</v>
      </c>
      <c r="C122" s="40" t="n">
        <f aca="false">Assumptions!$C$6+(YEAR(B122)-YEAR(Assumptions!$C$4))*Assumptions!$C$7</f>
        <v>12000</v>
      </c>
      <c r="D122" s="41" t="n">
        <f aca="false">Assumptions!$D$21*(1+Assumptions!$F$21)^((B122-Assumptions!$C$4)/365)</f>
        <v>681.978653533238</v>
      </c>
      <c r="E122" s="42" t="n">
        <f aca="false">C122/D122</f>
        <v>17.5958586648272</v>
      </c>
      <c r="F122" s="42" t="n">
        <f aca="false">F121+E122</f>
        <v>2247.66909073875</v>
      </c>
      <c r="G122" s="40" t="n">
        <f aca="false">F122*D122</f>
        <v>1532862.34009029</v>
      </c>
      <c r="H122" s="41" t="n">
        <f aca="false">Assumptions!$D$22*(1+Assumptions!$F$22)^((B122-Assumptions!$C$4)/365)</f>
        <v>578.700176282071</v>
      </c>
      <c r="I122" s="42" t="n">
        <f aca="false">C122/H122</f>
        <v>20.7361263946651</v>
      </c>
      <c r="J122" s="42" t="n">
        <f aca="false">J121+I122</f>
        <v>2596.35541826248</v>
      </c>
      <c r="K122" s="40" t="n">
        <f aca="false">J122*H122</f>
        <v>1502511.3382394</v>
      </c>
      <c r="L122" s="40" t="n">
        <f aca="false">L121+C122</f>
        <v>876000</v>
      </c>
    </row>
    <row r="123" customFormat="false" ht="15" hidden="false" customHeight="false" outlineLevel="0" collapsed="false">
      <c r="A123" s="38" t="n">
        <v>119</v>
      </c>
      <c r="B123" s="39" t="n">
        <f aca="false">EDATE(B122,1)</f>
        <v>49249</v>
      </c>
      <c r="C123" s="40" t="n">
        <f aca="false">Assumptions!$C$6+(YEAR(B123)-YEAR(Assumptions!$C$4))*Assumptions!$C$7</f>
        <v>12000</v>
      </c>
      <c r="D123" s="41" t="n">
        <f aca="false">Assumptions!$D$21*(1+Assumptions!$F$21)^((B123-Assumptions!$C$4)/365)</f>
        <v>689.610389568084</v>
      </c>
      <c r="E123" s="42" t="n">
        <f aca="false">C123/D123</f>
        <v>17.4011299445703</v>
      </c>
      <c r="F123" s="42" t="n">
        <f aca="false">F122+E123</f>
        <v>2265.07022068332</v>
      </c>
      <c r="G123" s="40" t="n">
        <f aca="false">F123*D123</f>
        <v>1562015.95728449</v>
      </c>
      <c r="H123" s="41" t="n">
        <f aca="false">Assumptions!$D$22*(1+Assumptions!$F$22)^((B123-Assumptions!$C$4)/365)</f>
        <v>584.966499419819</v>
      </c>
      <c r="I123" s="42" t="n">
        <f aca="false">C123/H123</f>
        <v>20.5139952662278</v>
      </c>
      <c r="J123" s="42" t="n">
        <f aca="false">J122+I123</f>
        <v>2616.8694135287</v>
      </c>
      <c r="K123" s="40" t="n">
        <f aca="false">J123*H123</f>
        <v>1530780.94027068</v>
      </c>
      <c r="L123" s="40" t="n">
        <f aca="false">L122+C123</f>
        <v>888000</v>
      </c>
    </row>
    <row r="124" customFormat="false" ht="15" hidden="false" customHeight="false" outlineLevel="0" collapsed="false">
      <c r="A124" s="38" t="n">
        <v>120</v>
      </c>
      <c r="B124" s="39" t="n">
        <f aca="false">EDATE(B123,1)</f>
        <v>49279</v>
      </c>
      <c r="C124" s="40" t="n">
        <f aca="false">Assumptions!$C$6+(YEAR(B124)-YEAR(Assumptions!$C$4))*Assumptions!$C$7</f>
        <v>12000</v>
      </c>
      <c r="D124" s="41" t="n">
        <f aca="false">Assumptions!$D$21*(1+Assumptions!$F$21)^((B124-Assumptions!$C$4)/365)</f>
        <v>697.077246363595</v>
      </c>
      <c r="E124" s="42" t="n">
        <f aca="false">C124/D124</f>
        <v>17.2147348986066</v>
      </c>
      <c r="F124" s="42" t="n">
        <f aca="false">F123+E124</f>
        <v>2282.28495558192</v>
      </c>
      <c r="G124" s="40" t="n">
        <f aca="false">F124*D124</f>
        <v>1590928.91225411</v>
      </c>
      <c r="H124" s="41" t="n">
        <f aca="false">Assumptions!$D$22*(1+Assumptions!$F$22)^((B124-Assumptions!$C$4)/365)</f>
        <v>591.095281125937</v>
      </c>
      <c r="I124" s="42" t="n">
        <f aca="false">C124/H124</f>
        <v>20.3012955494113</v>
      </c>
      <c r="J124" s="42" t="n">
        <f aca="false">J123+I124</f>
        <v>2637.17070907811</v>
      </c>
      <c r="K124" s="40" t="n">
        <f aca="false">J124*H124</f>
        <v>1558819.16165962</v>
      </c>
      <c r="L124" s="40" t="n">
        <f aca="false">L123+C124</f>
        <v>900000</v>
      </c>
    </row>
    <row r="126" customFormat="false" ht="15" hidden="false" customHeight="false" outlineLevel="0" collapsed="false">
      <c r="B126" s="43" t="s">
        <v>126</v>
      </c>
      <c r="G126" s="44" t="n">
        <f aca="false">G124</f>
        <v>1590928.91225411</v>
      </c>
      <c r="K126" s="44" t="n">
        <f aca="false">K124</f>
        <v>1558819.16165962</v>
      </c>
      <c r="L126" s="44" t="n">
        <f aca="false">L124</f>
        <v>900000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12"/>
    <col collapsed="false" customWidth="true" hidden="false" outlineLevel="0" max="4" min="3" style="1" width="13"/>
    <col collapsed="false" customWidth="true" hidden="false" outlineLevel="0" max="5" min="5" style="1" width="12"/>
    <col collapsed="false" customWidth="true" hidden="false" outlineLevel="0" max="6" min="6" style="1" width="14"/>
    <col collapsed="false" customWidth="true" hidden="false" outlineLevel="0" max="8" min="7" style="1" width="13"/>
    <col collapsed="false" customWidth="true" hidden="false" outlineLevel="0" max="9" min="9" style="1" width="12"/>
    <col collapsed="false" customWidth="true" hidden="false" outlineLevel="0" max="10" min="10" style="1" width="14"/>
    <col collapsed="false" customWidth="true" hidden="false" outlineLevel="0" max="11" min="11" style="1" width="13"/>
    <col collapsed="false" customWidth="true" hidden="false" outlineLevel="0" max="12" min="12" style="1" width="14"/>
  </cols>
  <sheetData>
    <row r="1" customFormat="false" ht="19.7" hidden="false" customHeight="false" outlineLevel="0" collapsed="false">
      <c r="A1" s="2" t="s">
        <v>128</v>
      </c>
    </row>
    <row r="2" customFormat="false" ht="15" hidden="false" customHeight="false" outlineLevel="0" collapsed="false">
      <c r="A2" s="3" t="s">
        <v>113</v>
      </c>
    </row>
    <row r="4" customFormat="false" ht="30" hidden="false" customHeight="true" outlineLevel="0" collapsed="false">
      <c r="A4" s="6" t="s">
        <v>114</v>
      </c>
      <c r="B4" s="6" t="s">
        <v>115</v>
      </c>
      <c r="C4" s="6" t="s">
        <v>116</v>
      </c>
      <c r="D4" s="6" t="s">
        <v>117</v>
      </c>
      <c r="E4" s="6" t="s">
        <v>118</v>
      </c>
      <c r="F4" s="6" t="s">
        <v>119</v>
      </c>
      <c r="G4" s="6" t="s">
        <v>120</v>
      </c>
      <c r="H4" s="6" t="s">
        <v>121</v>
      </c>
      <c r="I4" s="6" t="s">
        <v>122</v>
      </c>
      <c r="J4" s="6" t="s">
        <v>123</v>
      </c>
      <c r="K4" s="6" t="s">
        <v>124</v>
      </c>
      <c r="L4" s="6" t="s">
        <v>125</v>
      </c>
    </row>
    <row r="5" customFormat="false" ht="15" hidden="false" customHeight="false" outlineLevel="0" collapsed="false">
      <c r="A5" s="33" t="n">
        <v>1</v>
      </c>
      <c r="B5" s="34" t="n">
        <f aca="false">Assumptions!$C$4</f>
        <v>45658</v>
      </c>
      <c r="C5" s="35" t="n">
        <f aca="false">Assumptions!$C$6+(YEAR(B5)-YEAR(Assumptions!$C$4))*Assumptions!$C$7</f>
        <v>3000</v>
      </c>
      <c r="D5" s="36" t="n">
        <f aca="false">Assumptions!$D$23*(1+Assumptions!$F$23)^((B5-Assumptions!$C$4)/365)</f>
        <v>170</v>
      </c>
      <c r="E5" s="37" t="n">
        <f aca="false">C5/D5</f>
        <v>17.6470588235294</v>
      </c>
      <c r="F5" s="37" t="n">
        <f aca="false">E5</f>
        <v>17.6470588235294</v>
      </c>
      <c r="G5" s="35" t="n">
        <f aca="false">F5*D5</f>
        <v>3000</v>
      </c>
      <c r="H5" s="36" t="n">
        <f aca="false">Assumptions!$D$24*(1+Assumptions!$F$24)^((B5-Assumptions!$C$4)/365)</f>
        <v>149</v>
      </c>
      <c r="I5" s="37" t="n">
        <f aca="false">C5/H5</f>
        <v>20.1342281879195</v>
      </c>
      <c r="J5" s="37" t="n">
        <f aca="false">I5</f>
        <v>20.1342281879195</v>
      </c>
      <c r="K5" s="35" t="n">
        <f aca="false">J5*H5</f>
        <v>3000</v>
      </c>
      <c r="L5" s="35" t="n">
        <f aca="false">C5</f>
        <v>3000</v>
      </c>
    </row>
    <row r="6" customFormat="false" ht="15" hidden="false" customHeight="false" outlineLevel="0" collapsed="false">
      <c r="A6" s="33" t="n">
        <v>2</v>
      </c>
      <c r="B6" s="34" t="n">
        <f aca="false">EDATE(B5,1)</f>
        <v>45689</v>
      </c>
      <c r="C6" s="35" t="n">
        <f aca="false">Assumptions!$C$6+(YEAR(B6)-YEAR(Assumptions!$C$4))*Assumptions!$C$7</f>
        <v>3000</v>
      </c>
      <c r="D6" s="36" t="n">
        <f aca="false">Assumptions!$D$23*(1+Assumptions!$F$23)^((B6-Assumptions!$C$4)/365)</f>
        <v>172.029956856158</v>
      </c>
      <c r="E6" s="37" t="n">
        <f aca="false">C6/D6</f>
        <v>17.4388231841994</v>
      </c>
      <c r="F6" s="37" t="n">
        <f aca="false">F5+E6</f>
        <v>35.0858820077288</v>
      </c>
      <c r="G6" s="35" t="n">
        <f aca="false">F6*D6</f>
        <v>6035.82276804986</v>
      </c>
      <c r="H6" s="36" t="n">
        <f aca="false">Assumptions!$D$24*(1+Assumptions!$F$24)^((B6-Assumptions!$C$4)/365)</f>
        <v>150.69094876722</v>
      </c>
      <c r="I6" s="37" t="n">
        <f aca="false">C6/H6</f>
        <v>19.9082959165269</v>
      </c>
      <c r="J6" s="37" t="n">
        <f aca="false">J5+I6</f>
        <v>40.0425241044463</v>
      </c>
      <c r="K6" s="35" t="n">
        <f aca="false">J6*H6</f>
        <v>6034.04594833328</v>
      </c>
      <c r="L6" s="35" t="n">
        <f aca="false">L5+C6</f>
        <v>6000</v>
      </c>
    </row>
    <row r="7" customFormat="false" ht="15" hidden="false" customHeight="false" outlineLevel="0" collapsed="false">
      <c r="A7" s="33" t="n">
        <v>3</v>
      </c>
      <c r="B7" s="34" t="n">
        <f aca="false">EDATE(B6,1)</f>
        <v>45717</v>
      </c>
      <c r="C7" s="35" t="n">
        <f aca="false">Assumptions!$C$6+(YEAR(B7)-YEAR(Assumptions!$C$4))*Assumptions!$C$7</f>
        <v>3000</v>
      </c>
      <c r="D7" s="36" t="n">
        <f aca="false">Assumptions!$D$23*(1+Assumptions!$F$23)^((B7-Assumptions!$C$4)/365)</f>
        <v>173.884292692604</v>
      </c>
      <c r="E7" s="37" t="n">
        <f aca="false">C7/D7</f>
        <v>17.2528521900679</v>
      </c>
      <c r="F7" s="37" t="n">
        <f aca="false">F6+E7</f>
        <v>52.3387341977967</v>
      </c>
      <c r="G7" s="35" t="n">
        <f aca="false">F7*D7</f>
        <v>9100.88377641008</v>
      </c>
      <c r="H7" s="36" t="n">
        <f aca="false">Assumptions!$D$24*(1+Assumptions!$F$24)^((B7-Assumptions!$C$4)/365)</f>
        <v>152.234745512858</v>
      </c>
      <c r="I7" s="37" t="n">
        <f aca="false">C7/H7</f>
        <v>19.706407954987</v>
      </c>
      <c r="J7" s="37" t="n">
        <f aca="false">J6+I7</f>
        <v>59.7489320594333</v>
      </c>
      <c r="K7" s="35" t="n">
        <f aca="false">J7*H7</f>
        <v>9095.86346673287</v>
      </c>
      <c r="L7" s="35" t="n">
        <f aca="false">L6+C7</f>
        <v>9000</v>
      </c>
    </row>
    <row r="8" customFormat="false" ht="15" hidden="false" customHeight="false" outlineLevel="0" collapsed="false">
      <c r="A8" s="33" t="n">
        <v>4</v>
      </c>
      <c r="B8" s="34" t="n">
        <f aca="false">EDATE(B7,1)</f>
        <v>45748</v>
      </c>
      <c r="C8" s="35" t="n">
        <f aca="false">Assumptions!$C$6+(YEAR(B8)-YEAR(Assumptions!$C$4))*Assumptions!$C$7</f>
        <v>3000</v>
      </c>
      <c r="D8" s="36" t="n">
        <f aca="false">Assumptions!$D$23*(1+Assumptions!$F$23)^((B8-Assumptions!$C$4)/365)</f>
        <v>175.960631587484</v>
      </c>
      <c r="E8" s="37" t="n">
        <f aca="false">C8/D8</f>
        <v>17.0492681967242</v>
      </c>
      <c r="F8" s="37" t="n">
        <f aca="false">F7+E8</f>
        <v>69.388002394521</v>
      </c>
      <c r="G8" s="35" t="n">
        <f aca="false">F8*D8</f>
        <v>12209.5567259338</v>
      </c>
      <c r="H8" s="36" t="n">
        <f aca="false">Assumptions!$D$24*(1+Assumptions!$F$24)^((B8-Assumptions!$C$4)/365)</f>
        <v>153.962404272945</v>
      </c>
      <c r="I8" s="37" t="n">
        <f aca="false">C8/H8</f>
        <v>19.4852763839774</v>
      </c>
      <c r="J8" s="37" t="n">
        <f aca="false">J7+I8</f>
        <v>79.2342084434107</v>
      </c>
      <c r="K8" s="35" t="n">
        <f aca="false">J8*H8</f>
        <v>12199.0892326112</v>
      </c>
      <c r="L8" s="35" t="n">
        <f aca="false">L7+C8</f>
        <v>12000</v>
      </c>
    </row>
    <row r="9" customFormat="false" ht="15" hidden="false" customHeight="false" outlineLevel="0" collapsed="false">
      <c r="A9" s="33" t="n">
        <v>5</v>
      </c>
      <c r="B9" s="34" t="n">
        <f aca="false">EDATE(B8,1)</f>
        <v>45778</v>
      </c>
      <c r="C9" s="35" t="n">
        <f aca="false">Assumptions!$C$6+(YEAR(B9)-YEAR(Assumptions!$C$4))*Assumptions!$C$7</f>
        <v>3000</v>
      </c>
      <c r="D9" s="36" t="n">
        <f aca="false">Assumptions!$D$23*(1+Assumptions!$F$23)^((B9-Assumptions!$C$4)/365)</f>
        <v>177.99359540786</v>
      </c>
      <c r="E9" s="37" t="n">
        <f aca="false">C9/D9</f>
        <v>16.8545390249897</v>
      </c>
      <c r="F9" s="37" t="n">
        <f aca="false">F8+E9</f>
        <v>86.2425414195106</v>
      </c>
      <c r="G9" s="35" t="n">
        <f aca="false">F9*D9</f>
        <v>15350.62002437</v>
      </c>
      <c r="H9" s="36" t="n">
        <f aca="false">Assumptions!$D$24*(1+Assumptions!$F$24)^((B9-Assumptions!$C$4)/365)</f>
        <v>155.652997922516</v>
      </c>
      <c r="I9" s="37" t="n">
        <f aca="false">C9/H9</f>
        <v>19.273640983731</v>
      </c>
      <c r="J9" s="37" t="n">
        <f aca="false">J8+I9</f>
        <v>98.5078494271417</v>
      </c>
      <c r="K9" s="35" t="n">
        <f aca="false">J9*H9</f>
        <v>15333.0420822344</v>
      </c>
      <c r="L9" s="35" t="n">
        <f aca="false">L8+C9</f>
        <v>15000</v>
      </c>
    </row>
    <row r="10" customFormat="false" ht="15" hidden="false" customHeight="false" outlineLevel="0" collapsed="false">
      <c r="A10" s="33" t="n">
        <v>6</v>
      </c>
      <c r="B10" s="34" t="n">
        <f aca="false">EDATE(B9,1)</f>
        <v>45809</v>
      </c>
      <c r="C10" s="35" t="n">
        <f aca="false">Assumptions!$C$6+(YEAR(B10)-YEAR(Assumptions!$C$4))*Assumptions!$C$7</f>
        <v>3000</v>
      </c>
      <c r="D10" s="36" t="n">
        <f aca="false">Assumptions!$D$23*(1+Assumptions!$F$23)^((B10-Assumptions!$C$4)/365)</f>
        <v>180.119003168745</v>
      </c>
      <c r="E10" s="37" t="n">
        <f aca="false">C10/D10</f>
        <v>16.6556551347857</v>
      </c>
      <c r="F10" s="37" t="n">
        <f aca="false">F9+E10</f>
        <v>102.898196554296</v>
      </c>
      <c r="G10" s="35" t="n">
        <f aca="false">F10*D10</f>
        <v>18533.9205912215</v>
      </c>
      <c r="H10" s="36" t="n">
        <f aca="false">Assumptions!$D$24*(1+Assumptions!$F$24)^((B10-Assumptions!$C$4)/365)</f>
        <v>157.419449230913</v>
      </c>
      <c r="I10" s="37" t="n">
        <f aca="false">C10/H10</f>
        <v>19.0573656219532</v>
      </c>
      <c r="J10" s="37" t="n">
        <f aca="false">J9+I10</f>
        <v>117.565215049095</v>
      </c>
      <c r="K10" s="35" t="n">
        <f aca="false">J10*H10</f>
        <v>18507.0514017423</v>
      </c>
      <c r="L10" s="35" t="n">
        <f aca="false">L9+C10</f>
        <v>18000</v>
      </c>
    </row>
    <row r="11" customFormat="false" ht="15" hidden="false" customHeight="false" outlineLevel="0" collapsed="false">
      <c r="A11" s="38" t="n">
        <v>7</v>
      </c>
      <c r="B11" s="39" t="n">
        <f aca="false">EDATE(B10,1)</f>
        <v>45839</v>
      </c>
      <c r="C11" s="40" t="n">
        <f aca="false">Assumptions!$C$6+(YEAR(B11)-YEAR(Assumptions!$C$4))*Assumptions!$C$7</f>
        <v>3000</v>
      </c>
      <c r="D11" s="41" t="n">
        <f aca="false">Assumptions!$D$23*(1+Assumptions!$F$23)^((B11-Assumptions!$C$4)/365)</f>
        <v>182.200010798126</v>
      </c>
      <c r="E11" s="42" t="n">
        <f aca="false">C11/D11</f>
        <v>16.4654216366866</v>
      </c>
      <c r="F11" s="42" t="n">
        <f aca="false">F10+E11</f>
        <v>119.363618190983</v>
      </c>
      <c r="G11" s="40" t="n">
        <f aca="false">F11*D11</f>
        <v>21748.0525233005</v>
      </c>
      <c r="H11" s="41" t="n">
        <f aca="false">Assumptions!$D$24*(1+Assumptions!$F$24)^((B11-Assumptions!$C$4)/365)</f>
        <v>159.14800317527</v>
      </c>
      <c r="I11" s="42" t="n">
        <f aca="false">C11/H11</f>
        <v>18.8503778881605</v>
      </c>
      <c r="J11" s="42" t="n">
        <f aca="false">J10+I11</f>
        <v>136.415592937255</v>
      </c>
      <c r="K11" s="40" t="n">
        <f aca="false">J11*H11</f>
        <v>21710.2692179346</v>
      </c>
      <c r="L11" s="40" t="n">
        <f aca="false">L10+C11</f>
        <v>21000</v>
      </c>
    </row>
    <row r="12" customFormat="false" ht="15" hidden="false" customHeight="false" outlineLevel="0" collapsed="false">
      <c r="A12" s="38" t="n">
        <v>8</v>
      </c>
      <c r="B12" s="39" t="n">
        <f aca="false">EDATE(B11,1)</f>
        <v>45870</v>
      </c>
      <c r="C12" s="40" t="n">
        <f aca="false">Assumptions!$C$6+(YEAR(B12)-YEAR(Assumptions!$C$4))*Assumptions!$C$7</f>
        <v>3000</v>
      </c>
      <c r="D12" s="41" t="n">
        <f aca="false">Assumptions!$D$23*(1+Assumptions!$F$23)^((B12-Assumptions!$C$4)/365)</f>
        <v>184.37564703996</v>
      </c>
      <c r="E12" s="42" t="n">
        <f aca="false">C12/D12</f>
        <v>16.2711293392766</v>
      </c>
      <c r="F12" s="42" t="n">
        <f aca="false">F11+E12</f>
        <v>135.63474753026</v>
      </c>
      <c r="G12" s="40" t="n">
        <f aca="false">F12*D12</f>
        <v>25007.7443369933</v>
      </c>
      <c r="H12" s="41" t="n">
        <f aca="false">Assumptions!$D$24*(1+Assumptions!$F$24)^((B12-Assumptions!$C$4)/365)</f>
        <v>160.954118073086</v>
      </c>
      <c r="I12" s="42" t="n">
        <f aca="false">C12/H12</f>
        <v>18.6388520897474</v>
      </c>
      <c r="J12" s="42" t="n">
        <f aca="false">J11+I12</f>
        <v>155.054445027003</v>
      </c>
      <c r="K12" s="40" t="n">
        <f aca="false">J12*H12</f>
        <v>24956.6514526331</v>
      </c>
      <c r="L12" s="40" t="n">
        <f aca="false">L11+C12</f>
        <v>24000</v>
      </c>
    </row>
    <row r="13" customFormat="false" ht="15" hidden="false" customHeight="false" outlineLevel="0" collapsed="false">
      <c r="A13" s="38" t="n">
        <v>9</v>
      </c>
      <c r="B13" s="39" t="n">
        <f aca="false">EDATE(B12,1)</f>
        <v>45901</v>
      </c>
      <c r="C13" s="40" t="n">
        <f aca="false">Assumptions!$C$6+(YEAR(B13)-YEAR(Assumptions!$C$4))*Assumptions!$C$7</f>
        <v>3000</v>
      </c>
      <c r="D13" s="41" t="n">
        <f aca="false">Assumptions!$D$23*(1+Assumptions!$F$23)^((B13-Assumptions!$C$4)/365)</f>
        <v>186.577262385945</v>
      </c>
      <c r="E13" s="42" t="n">
        <f aca="false">C13/D13</f>
        <v>16.0791296947767</v>
      </c>
      <c r="F13" s="42" t="n">
        <f aca="false">F12+E13</f>
        <v>151.713877225036</v>
      </c>
      <c r="G13" s="40" t="n">
        <f aca="false">F13*D13</f>
        <v>28306.3598786047</v>
      </c>
      <c r="H13" s="41" t="n">
        <f aca="false">Assumptions!$D$24*(1+Assumptions!$F$24)^((B13-Assumptions!$C$4)/365)</f>
        <v>162.780729935735</v>
      </c>
      <c r="I13" s="42" t="n">
        <f aca="false">C13/H13</f>
        <v>18.429699886371</v>
      </c>
      <c r="J13" s="42" t="n">
        <f aca="false">J12+I13</f>
        <v>173.484144913374</v>
      </c>
      <c r="K13" s="40" t="n">
        <f aca="false">J13*H13</f>
        <v>28239.8757412758</v>
      </c>
      <c r="L13" s="40" t="n">
        <f aca="false">L12+C13</f>
        <v>27000</v>
      </c>
    </row>
    <row r="14" customFormat="false" ht="15" hidden="false" customHeight="false" outlineLevel="0" collapsed="false">
      <c r="A14" s="38" t="n">
        <v>10</v>
      </c>
      <c r="B14" s="39" t="n">
        <f aca="false">EDATE(B13,1)</f>
        <v>45931</v>
      </c>
      <c r="C14" s="40" t="n">
        <f aca="false">Assumptions!$C$6+(YEAR(B14)-YEAR(Assumptions!$C$4))*Assumptions!$C$7</f>
        <v>3000</v>
      </c>
      <c r="D14" s="41" t="n">
        <f aca="false">Assumptions!$D$23*(1+Assumptions!$F$23)^((B14-Assumptions!$C$4)/365)</f>
        <v>188.732885610944</v>
      </c>
      <c r="E14" s="42" t="n">
        <f aca="false">C14/D14</f>
        <v>15.8954810142851</v>
      </c>
      <c r="F14" s="42" t="n">
        <f aca="false">F13+E14</f>
        <v>167.609358239321</v>
      </c>
      <c r="G14" s="40" t="n">
        <f aca="false">F14*D14</f>
        <v>31633.3978359056</v>
      </c>
      <c r="H14" s="41" t="n">
        <f aca="false">Assumptions!$D$24*(1+Assumptions!$F$24)^((B14-Assumptions!$C$4)/365)</f>
        <v>164.568153752617</v>
      </c>
      <c r="I14" s="42" t="n">
        <f aca="false">C14/H14</f>
        <v>18.2295294173968</v>
      </c>
      <c r="J14" s="42" t="n">
        <f aca="false">J13+I14</f>
        <v>191.713674330771</v>
      </c>
      <c r="K14" s="40" t="n">
        <f aca="false">J14*H14</f>
        <v>31549.9654337453</v>
      </c>
      <c r="L14" s="40" t="n">
        <f aca="false">L13+C14</f>
        <v>30000</v>
      </c>
    </row>
    <row r="15" customFormat="false" ht="15" hidden="false" customHeight="false" outlineLevel="0" collapsed="false">
      <c r="A15" s="38" t="n">
        <v>11</v>
      </c>
      <c r="B15" s="39" t="n">
        <f aca="false">EDATE(B14,1)</f>
        <v>45962</v>
      </c>
      <c r="C15" s="40" t="n">
        <f aca="false">Assumptions!$C$6+(YEAR(B15)-YEAR(Assumptions!$C$4))*Assumptions!$C$7</f>
        <v>3000</v>
      </c>
      <c r="D15" s="41" t="n">
        <f aca="false">Assumptions!$D$23*(1+Assumptions!$F$23)^((B15-Assumptions!$C$4)/365)</f>
        <v>190.986530405818</v>
      </c>
      <c r="E15" s="42" t="n">
        <f aca="false">C15/D15</f>
        <v>15.7079140273686</v>
      </c>
      <c r="F15" s="42" t="n">
        <f aca="false">F14+E15</f>
        <v>183.31727226669</v>
      </c>
      <c r="G15" s="40" t="n">
        <f aca="false">F15*D15</f>
        <v>35011.1297936737</v>
      </c>
      <c r="H15" s="41" t="n">
        <f aca="false">Assumptions!$D$24*(1+Assumptions!$F$24)^((B15-Assumptions!$C$4)/365)</f>
        <v>166.435780039272</v>
      </c>
      <c r="I15" s="42" t="n">
        <f aca="false">C15/H15</f>
        <v>18.0249703476748</v>
      </c>
      <c r="J15" s="42" t="n">
        <f aca="false">J14+I15</f>
        <v>209.738644678445</v>
      </c>
      <c r="K15" s="40" t="n">
        <f aca="false">J15*H15</f>
        <v>34908.0149314367</v>
      </c>
      <c r="L15" s="40" t="n">
        <f aca="false">L14+C15</f>
        <v>33000</v>
      </c>
    </row>
    <row r="16" customFormat="false" ht="15" hidden="false" customHeight="false" outlineLevel="0" collapsed="false">
      <c r="A16" s="38" t="n">
        <v>12</v>
      </c>
      <c r="B16" s="39" t="n">
        <f aca="false">EDATE(B15,1)</f>
        <v>45992</v>
      </c>
      <c r="C16" s="40" t="n">
        <f aca="false">Assumptions!$C$6+(YEAR(B16)-YEAR(Assumptions!$C$4))*Assumptions!$C$7</f>
        <v>3000</v>
      </c>
      <c r="D16" s="41" t="n">
        <f aca="false">Assumptions!$D$23*(1+Assumptions!$F$23)^((B16-Assumptions!$C$4)/365)</f>
        <v>193.193096175622</v>
      </c>
      <c r="E16" s="42" t="n">
        <f aca="false">C16/D16</f>
        <v>15.5285052074161</v>
      </c>
      <c r="F16" s="42" t="n">
        <f aca="false">F15+E16</f>
        <v>198.845777474106</v>
      </c>
      <c r="G16" s="40" t="n">
        <f aca="false">F16*D16</f>
        <v>38415.6314116714</v>
      </c>
      <c r="H16" s="41" t="n">
        <f aca="false">Assumptions!$D$24*(1+Assumptions!$F$24)^((B16-Assumptions!$C$4)/365)</f>
        <v>168.263338358619</v>
      </c>
      <c r="I16" s="42" t="n">
        <f aca="false">C16/H16</f>
        <v>17.8291957669716</v>
      </c>
      <c r="J16" s="42" t="n">
        <f aca="false">J15+I16</f>
        <v>227.567840445417</v>
      </c>
      <c r="K16" s="40" t="n">
        <f aca="false">J16*H16</f>
        <v>38291.3245364074</v>
      </c>
      <c r="L16" s="40" t="n">
        <f aca="false">L15+C16</f>
        <v>36000</v>
      </c>
    </row>
    <row r="17" customFormat="false" ht="15" hidden="false" customHeight="false" outlineLevel="0" collapsed="false">
      <c r="A17" s="33" t="n">
        <v>13</v>
      </c>
      <c r="B17" s="34" t="n">
        <f aca="false">EDATE(B16,1)</f>
        <v>46023</v>
      </c>
      <c r="C17" s="35" t="n">
        <f aca="false">Assumptions!$C$6+(YEAR(B17)-YEAR(Assumptions!$C$4))*Assumptions!$C$7</f>
        <v>4000</v>
      </c>
      <c r="D17" s="36" t="n">
        <f aca="false">Assumptions!$D$23*(1+Assumptions!$F$23)^((B17-Assumptions!$C$4)/365)</f>
        <v>195.5</v>
      </c>
      <c r="E17" s="37" t="n">
        <f aca="false">C17/D17</f>
        <v>20.460358056266</v>
      </c>
      <c r="F17" s="37" t="n">
        <f aca="false">F16+E17</f>
        <v>219.306135530372</v>
      </c>
      <c r="G17" s="35" t="n">
        <f aca="false">F17*D17</f>
        <v>42874.3494961877</v>
      </c>
      <c r="H17" s="36" t="n">
        <f aca="false">Assumptions!$D$24*(1+Assumptions!$F$24)^((B17-Assumptions!$C$4)/365)</f>
        <v>170.1729</v>
      </c>
      <c r="I17" s="37" t="n">
        <f aca="false">C17/H17</f>
        <v>23.5055052831561</v>
      </c>
      <c r="J17" s="37" t="n">
        <f aca="false">J16+I17</f>
        <v>251.073345728573</v>
      </c>
      <c r="K17" s="35" t="n">
        <f aca="false">J17*H17</f>
        <v>42725.8793553339</v>
      </c>
      <c r="L17" s="35" t="n">
        <f aca="false">L16+C17</f>
        <v>40000</v>
      </c>
    </row>
    <row r="18" customFormat="false" ht="15" hidden="false" customHeight="false" outlineLevel="0" collapsed="false">
      <c r="A18" s="33" t="n">
        <v>14</v>
      </c>
      <c r="B18" s="34" t="n">
        <f aca="false">EDATE(B17,1)</f>
        <v>46054</v>
      </c>
      <c r="C18" s="35" t="n">
        <f aca="false">Assumptions!$C$6+(YEAR(B18)-YEAR(Assumptions!$C$4))*Assumptions!$C$7</f>
        <v>4000</v>
      </c>
      <c r="D18" s="36" t="n">
        <f aca="false">Assumptions!$D$23*(1+Assumptions!$F$23)^((B18-Assumptions!$C$4)/365)</f>
        <v>197.834450384582</v>
      </c>
      <c r="E18" s="37" t="n">
        <f aca="false">C18/D18</f>
        <v>20.2189254309558</v>
      </c>
      <c r="F18" s="37" t="n">
        <f aca="false">F17+E18</f>
        <v>239.525060961328</v>
      </c>
      <c r="G18" s="35" t="n">
        <f aca="false">F18*D18</f>
        <v>47386.3087886179</v>
      </c>
      <c r="H18" s="36" t="n">
        <f aca="false">Assumptions!$D$24*(1+Assumptions!$F$24)^((B18-Assumptions!$C$4)/365)</f>
        <v>172.104132587042</v>
      </c>
      <c r="I18" s="37" t="n">
        <f aca="false">C18/H18</f>
        <v>23.241742890613</v>
      </c>
      <c r="J18" s="37" t="n">
        <f aca="false">J17+I18</f>
        <v>274.315088619186</v>
      </c>
      <c r="K18" s="35" t="n">
        <f aca="false">J18*H18</f>
        <v>47210.7603823425</v>
      </c>
      <c r="L18" s="35" t="n">
        <f aca="false">L17+C18</f>
        <v>44000</v>
      </c>
    </row>
    <row r="19" customFormat="false" ht="15" hidden="false" customHeight="false" outlineLevel="0" collapsed="false">
      <c r="A19" s="33" t="n">
        <v>15</v>
      </c>
      <c r="B19" s="34" t="n">
        <f aca="false">EDATE(B18,1)</f>
        <v>46082</v>
      </c>
      <c r="C19" s="35" t="n">
        <f aca="false">Assumptions!$C$6+(YEAR(B19)-YEAR(Assumptions!$C$4))*Assumptions!$C$7</f>
        <v>4000</v>
      </c>
      <c r="D19" s="36" t="n">
        <f aca="false">Assumptions!$D$23*(1+Assumptions!$F$23)^((B19-Assumptions!$C$4)/365)</f>
        <v>199.966936596494</v>
      </c>
      <c r="E19" s="37" t="n">
        <f aca="false">C19/D19</f>
        <v>20.0033068870353</v>
      </c>
      <c r="F19" s="37" t="n">
        <f aca="false">F18+E19</f>
        <v>259.528367848363</v>
      </c>
      <c r="G19" s="35" t="n">
        <f aca="false">F19*D19</f>
        <v>51897.0926785253</v>
      </c>
      <c r="H19" s="36" t="n">
        <f aca="false">Assumptions!$D$24*(1+Assumptions!$F$24)^((B19-Assumptions!$C$4)/365)</f>
        <v>173.867302850235</v>
      </c>
      <c r="I19" s="37" t="n">
        <f aca="false">C19/H19</f>
        <v>23.0060507894661</v>
      </c>
      <c r="J19" s="37" t="n">
        <f aca="false">J18+I19</f>
        <v>297.321139408652</v>
      </c>
      <c r="K19" s="35" t="n">
        <f aca="false">J19*H19</f>
        <v>51694.4245893412</v>
      </c>
      <c r="L19" s="35" t="n">
        <f aca="false">L18+C19</f>
        <v>48000</v>
      </c>
    </row>
    <row r="20" customFormat="false" ht="15" hidden="false" customHeight="false" outlineLevel="0" collapsed="false">
      <c r="A20" s="33" t="n">
        <v>16</v>
      </c>
      <c r="B20" s="34" t="n">
        <f aca="false">EDATE(B19,1)</f>
        <v>46113</v>
      </c>
      <c r="C20" s="35" t="n">
        <f aca="false">Assumptions!$C$6+(YEAR(B20)-YEAR(Assumptions!$C$4))*Assumptions!$C$7</f>
        <v>4000</v>
      </c>
      <c r="D20" s="36" t="n">
        <f aca="false">Assumptions!$D$23*(1+Assumptions!$F$23)^((B20-Assumptions!$C$4)/365)</f>
        <v>202.354726325607</v>
      </c>
      <c r="E20" s="37" t="n">
        <f aca="false">C20/D20</f>
        <v>19.7672674744629</v>
      </c>
      <c r="F20" s="37" t="n">
        <f aca="false">F19+E20</f>
        <v>279.295635322826</v>
      </c>
      <c r="G20" s="35" t="n">
        <f aca="false">F20*D20</f>
        <v>56516.7918496869</v>
      </c>
      <c r="H20" s="36" t="n">
        <f aca="false">Assumptions!$D$24*(1+Assumptions!$F$24)^((B20-Assumptions!$C$4)/365)</f>
        <v>175.840461920131</v>
      </c>
      <c r="I20" s="37" t="n">
        <f aca="false">C20/H20</f>
        <v>22.7478929270378</v>
      </c>
      <c r="J20" s="37" t="n">
        <f aca="false">J19+I20</f>
        <v>320.06903233569</v>
      </c>
      <c r="K20" s="35" t="n">
        <f aca="false">J20*H20</f>
        <v>56281.086492237</v>
      </c>
      <c r="L20" s="35" t="n">
        <f aca="false">L19+C20</f>
        <v>52000</v>
      </c>
    </row>
    <row r="21" customFormat="false" ht="15" hidden="false" customHeight="false" outlineLevel="0" collapsed="false">
      <c r="A21" s="33" t="n">
        <v>17</v>
      </c>
      <c r="B21" s="34" t="n">
        <f aca="false">EDATE(B20,1)</f>
        <v>46143</v>
      </c>
      <c r="C21" s="35" t="n">
        <f aca="false">Assumptions!$C$6+(YEAR(B21)-YEAR(Assumptions!$C$4))*Assumptions!$C$7</f>
        <v>4000</v>
      </c>
      <c r="D21" s="36" t="n">
        <f aca="false">Assumptions!$D$23*(1+Assumptions!$F$23)^((B21-Assumptions!$C$4)/365)</f>
        <v>204.692634719039</v>
      </c>
      <c r="E21" s="37" t="n">
        <f aca="false">C21/D21</f>
        <v>19.5414945217272</v>
      </c>
      <c r="F21" s="37" t="n">
        <f aca="false">F20+E21</f>
        <v>298.837129844553</v>
      </c>
      <c r="G21" s="35" t="n">
        <f aca="false">F21*D21</f>
        <v>61169.7594597572</v>
      </c>
      <c r="H21" s="36" t="n">
        <f aca="false">Assumptions!$D$24*(1+Assumptions!$F$24)^((B21-Assumptions!$C$4)/365)</f>
        <v>177.771288927305</v>
      </c>
      <c r="I21" s="37" t="n">
        <f aca="false">C21/H21</f>
        <v>22.5008212751143</v>
      </c>
      <c r="J21" s="37" t="n">
        <f aca="false">J20+I21</f>
        <v>342.569853610804</v>
      </c>
      <c r="K21" s="35" t="n">
        <f aca="false">J21*H21</f>
        <v>60899.084424031</v>
      </c>
      <c r="L21" s="35" t="n">
        <f aca="false">L20+C21</f>
        <v>56000</v>
      </c>
    </row>
    <row r="22" customFormat="false" ht="15" hidden="false" customHeight="false" outlineLevel="0" collapsed="false">
      <c r="A22" s="33" t="n">
        <v>18</v>
      </c>
      <c r="B22" s="34" t="n">
        <f aca="false">EDATE(B21,1)</f>
        <v>46174</v>
      </c>
      <c r="C22" s="35" t="n">
        <f aca="false">Assumptions!$C$6+(YEAR(B22)-YEAR(Assumptions!$C$4))*Assumptions!$C$7</f>
        <v>4000</v>
      </c>
      <c r="D22" s="36" t="n">
        <f aca="false">Assumptions!$D$23*(1+Assumptions!$F$23)^((B22-Assumptions!$C$4)/365)</f>
        <v>207.136853644057</v>
      </c>
      <c r="E22" s="37" t="n">
        <f aca="false">C22/D22</f>
        <v>19.3109045040994</v>
      </c>
      <c r="F22" s="37" t="n">
        <f aca="false">F21+E22</f>
        <v>318.148034348653</v>
      </c>
      <c r="G22" s="35" t="n">
        <f aca="false">F22*D22</f>
        <v>65900.1828280213</v>
      </c>
      <c r="H22" s="36" t="n">
        <f aca="false">Assumptions!$D$24*(1+Assumptions!$F$24)^((B22-Assumptions!$C$4)/365)</f>
        <v>179.788752966625</v>
      </c>
      <c r="I22" s="37" t="n">
        <f aca="false">C22/H22</f>
        <v>22.2483327460563</v>
      </c>
      <c r="J22" s="37" t="n">
        <f aca="false">J21+I22</f>
        <v>364.818186356861</v>
      </c>
      <c r="K22" s="35" t="n">
        <f aca="false">J22*H22</f>
        <v>65590.2067846459</v>
      </c>
      <c r="L22" s="35" t="n">
        <f aca="false">L21+C22</f>
        <v>60000</v>
      </c>
    </row>
    <row r="23" customFormat="false" ht="15" hidden="false" customHeight="false" outlineLevel="0" collapsed="false">
      <c r="A23" s="38" t="n">
        <v>19</v>
      </c>
      <c r="B23" s="39" t="n">
        <f aca="false">EDATE(B22,1)</f>
        <v>46204</v>
      </c>
      <c r="C23" s="40" t="n">
        <f aca="false">Assumptions!$C$6+(YEAR(B23)-YEAR(Assumptions!$C$4))*Assumptions!$C$7</f>
        <v>4000</v>
      </c>
      <c r="D23" s="41" t="n">
        <f aca="false">Assumptions!$D$23*(1+Assumptions!$F$23)^((B23-Assumptions!$C$4)/365)</f>
        <v>209.530012417845</v>
      </c>
      <c r="E23" s="42" t="n">
        <f aca="false">C23/D23</f>
        <v>19.0903439265932</v>
      </c>
      <c r="F23" s="42" t="n">
        <f aca="false">F22+E23</f>
        <v>337.238378275246</v>
      </c>
      <c r="G23" s="40" t="n">
        <f aca="false">F23*D23</f>
        <v>70661.5615877862</v>
      </c>
      <c r="H23" s="41" t="n">
        <f aca="false">Assumptions!$D$24*(1+Assumptions!$F$24)^((B23-Assumptions!$C$4)/365)</f>
        <v>181.762934426475</v>
      </c>
      <c r="I23" s="42" t="n">
        <f aca="false">C23/H23</f>
        <v>22.0066869663024</v>
      </c>
      <c r="J23" s="42" t="n">
        <f aca="false">J22+I23</f>
        <v>386.824873323163</v>
      </c>
      <c r="K23" s="40" t="n">
        <f aca="false">J23*H23</f>
        <v>70310.4240843678</v>
      </c>
      <c r="L23" s="40" t="n">
        <f aca="false">L22+C23</f>
        <v>64000</v>
      </c>
    </row>
    <row r="24" customFormat="false" ht="15" hidden="false" customHeight="false" outlineLevel="0" collapsed="false">
      <c r="A24" s="38" t="n">
        <v>20</v>
      </c>
      <c r="B24" s="39" t="n">
        <f aca="false">EDATE(B23,1)</f>
        <v>46235</v>
      </c>
      <c r="C24" s="40" t="n">
        <f aca="false">Assumptions!$C$6+(YEAR(B24)-YEAR(Assumptions!$C$4))*Assumptions!$C$7</f>
        <v>4000</v>
      </c>
      <c r="D24" s="41" t="n">
        <f aca="false">Assumptions!$D$23*(1+Assumptions!$F$23)^((B24-Assumptions!$C$4)/365)</f>
        <v>212.031994095954</v>
      </c>
      <c r="E24" s="42" t="n">
        <f aca="false">C24/D24</f>
        <v>18.8650774948134</v>
      </c>
      <c r="F24" s="42" t="n">
        <f aca="false">F23+E24</f>
        <v>356.103455770059</v>
      </c>
      <c r="G24" s="40" t="n">
        <f aca="false">F24*D24</f>
        <v>75505.3258313862</v>
      </c>
      <c r="H24" s="41" t="n">
        <f aca="false">Assumptions!$D$24*(1+Assumptions!$F$24)^((B24-Assumptions!$C$4)/365)</f>
        <v>183.825698251272</v>
      </c>
      <c r="I24" s="42" t="n">
        <f aca="false">C24/H24</f>
        <v>21.7597432679537</v>
      </c>
      <c r="J24" s="42" t="n">
        <f aca="false">J23+I24</f>
        <v>408.584616591117</v>
      </c>
      <c r="K24" s="40" t="n">
        <f aca="false">J24*H24</f>
        <v>75108.3524395903</v>
      </c>
      <c r="L24" s="40" t="n">
        <f aca="false">L23+C24</f>
        <v>68000</v>
      </c>
    </row>
    <row r="25" customFormat="false" ht="15" hidden="false" customHeight="false" outlineLevel="0" collapsed="false">
      <c r="A25" s="38" t="n">
        <v>21</v>
      </c>
      <c r="B25" s="39" t="n">
        <f aca="false">EDATE(B24,1)</f>
        <v>46266</v>
      </c>
      <c r="C25" s="40" t="n">
        <f aca="false">Assumptions!$C$6+(YEAR(B25)-YEAR(Assumptions!$C$4))*Assumptions!$C$7</f>
        <v>4000</v>
      </c>
      <c r="D25" s="41" t="n">
        <f aca="false">Assumptions!$D$23*(1+Assumptions!$F$23)^((B25-Assumptions!$C$4)/365)</f>
        <v>214.563851743837</v>
      </c>
      <c r="E25" s="42" t="n">
        <f aca="false">C25/D25</f>
        <v>18.6424692113353</v>
      </c>
      <c r="F25" s="42" t="n">
        <f aca="false">F24+E25</f>
        <v>374.745924981395</v>
      </c>
      <c r="G25" s="40" t="n">
        <f aca="false">F25*D25</f>
        <v>80406.929089315</v>
      </c>
      <c r="H25" s="41" t="n">
        <f aca="false">Assumptions!$D$24*(1+Assumptions!$F$24)^((B25-Assumptions!$C$4)/365)</f>
        <v>185.911871659603</v>
      </c>
      <c r="I25" s="42" t="n">
        <f aca="false">C25/H25</f>
        <v>21.5155705996217</v>
      </c>
      <c r="J25" s="42" t="n">
        <f aca="false">J24+I25</f>
        <v>430.100187190739</v>
      </c>
      <c r="K25" s="40" t="n">
        <f aca="false">J25*H25</f>
        <v>79960.7308017758</v>
      </c>
      <c r="L25" s="40" t="n">
        <f aca="false">L24+C25</f>
        <v>72000</v>
      </c>
    </row>
    <row r="26" customFormat="false" ht="15" hidden="false" customHeight="false" outlineLevel="0" collapsed="false">
      <c r="A26" s="38" t="n">
        <v>22</v>
      </c>
      <c r="B26" s="39" t="n">
        <f aca="false">EDATE(B25,1)</f>
        <v>46296</v>
      </c>
      <c r="C26" s="40" t="n">
        <f aca="false">Assumptions!$C$6+(YEAR(B26)-YEAR(Assumptions!$C$4))*Assumptions!$C$7</f>
        <v>4000</v>
      </c>
      <c r="D26" s="41" t="n">
        <f aca="false">Assumptions!$D$23*(1+Assumptions!$F$23)^((B26-Assumptions!$C$4)/365)</f>
        <v>217.042818452586</v>
      </c>
      <c r="E26" s="42" t="n">
        <f aca="false">C26/D26</f>
        <v>18.4295432049682</v>
      </c>
      <c r="F26" s="42" t="n">
        <f aca="false">F25+E26</f>
        <v>393.175468186363</v>
      </c>
      <c r="G26" s="40" t="n">
        <f aca="false">F26*D26</f>
        <v>85335.9117615831</v>
      </c>
      <c r="H26" s="41" t="n">
        <f aca="false">Assumptions!$D$24*(1+Assumptions!$F$24)^((B26-Assumptions!$C$4)/365)</f>
        <v>187.953288400863</v>
      </c>
      <c r="I26" s="42" t="n">
        <f aca="false">C26/H26</f>
        <v>21.2818835681602</v>
      </c>
      <c r="J26" s="42" t="n">
        <f aca="false">J25+I26</f>
        <v>451.382070758899</v>
      </c>
      <c r="K26" s="40" t="n">
        <f aca="false">J26*H26</f>
        <v>84838.7445243262</v>
      </c>
      <c r="L26" s="40" t="n">
        <f aca="false">L25+C26</f>
        <v>76000</v>
      </c>
    </row>
    <row r="27" customFormat="false" ht="15" hidden="false" customHeight="false" outlineLevel="0" collapsed="false">
      <c r="A27" s="38" t="n">
        <v>23</v>
      </c>
      <c r="B27" s="39" t="n">
        <f aca="false">EDATE(B26,1)</f>
        <v>46327</v>
      </c>
      <c r="C27" s="40" t="n">
        <f aca="false">Assumptions!$C$6+(YEAR(B27)-YEAR(Assumptions!$C$4))*Assumptions!$C$7</f>
        <v>4000</v>
      </c>
      <c r="D27" s="41" t="n">
        <f aca="false">Assumptions!$D$23*(1+Assumptions!$F$23)^((B27-Assumptions!$C$4)/365)</f>
        <v>219.63450996669</v>
      </c>
      <c r="E27" s="42" t="n">
        <f aca="false">C27/D27</f>
        <v>18.2120742346303</v>
      </c>
      <c r="F27" s="42" t="n">
        <f aca="false">F26+E27</f>
        <v>411.387542420993</v>
      </c>
      <c r="G27" s="40" t="n">
        <f aca="false">F27*D27</f>
        <v>90354.9012860358</v>
      </c>
      <c r="H27" s="41" t="n">
        <f aca="false">Assumptions!$D$24*(1+Assumptions!$F$24)^((B27-Assumptions!$C$4)/365)</f>
        <v>190.086304382852</v>
      </c>
      <c r="I27" s="42" t="n">
        <f aca="false">C27/H27</f>
        <v>21.0430731082215</v>
      </c>
      <c r="J27" s="42" t="n">
        <f aca="false">J26+I27</f>
        <v>472.42514386712</v>
      </c>
      <c r="K27" s="40" t="n">
        <f aca="false">J27*H27</f>
        <v>89801.5496952382</v>
      </c>
      <c r="L27" s="40" t="n">
        <f aca="false">L26+C27</f>
        <v>80000</v>
      </c>
    </row>
    <row r="28" customFormat="false" ht="15" hidden="false" customHeight="false" outlineLevel="0" collapsed="false">
      <c r="A28" s="38" t="n">
        <v>24</v>
      </c>
      <c r="B28" s="39" t="n">
        <f aca="false">EDATE(B27,1)</f>
        <v>46357</v>
      </c>
      <c r="C28" s="40" t="n">
        <f aca="false">Assumptions!$C$6+(YEAR(B28)-YEAR(Assumptions!$C$4))*Assumptions!$C$7</f>
        <v>4000</v>
      </c>
      <c r="D28" s="41" t="n">
        <f aca="false">Assumptions!$D$23*(1+Assumptions!$F$23)^((B28-Assumptions!$C$4)/365)</f>
        <v>222.172060601966</v>
      </c>
      <c r="E28" s="42" t="n">
        <f aca="false">C28/D28</f>
        <v>18.0040640085984</v>
      </c>
      <c r="F28" s="42" t="n">
        <f aca="false">F27+E28</f>
        <v>429.391606429592</v>
      </c>
      <c r="G28" s="40" t="n">
        <f aca="false">F28*D28</f>
        <v>95398.8180056507</v>
      </c>
      <c r="H28" s="41" t="n">
        <f aca="false">Assumptions!$D$24*(1+Assumptions!$F$24)^((B28-Assumptions!$C$4)/365)</f>
        <v>192.173558739379</v>
      </c>
      <c r="I28" s="42" t="n">
        <f aca="false">C28/H28</f>
        <v>20.8145180129838</v>
      </c>
      <c r="J28" s="42" t="n">
        <f aca="false">J27+I28</f>
        <v>493.239661880104</v>
      </c>
      <c r="K28" s="40" t="n">
        <f aca="false">J28*H28</f>
        <v>94787.6211349075</v>
      </c>
      <c r="L28" s="40" t="n">
        <f aca="false">L27+C28</f>
        <v>84000</v>
      </c>
    </row>
    <row r="29" customFormat="false" ht="15" hidden="false" customHeight="false" outlineLevel="0" collapsed="false">
      <c r="A29" s="33" t="n">
        <v>25</v>
      </c>
      <c r="B29" s="34" t="n">
        <f aca="false">EDATE(B28,1)</f>
        <v>46388</v>
      </c>
      <c r="C29" s="35" t="n">
        <f aca="false">Assumptions!$C$6+(YEAR(B29)-YEAR(Assumptions!$C$4))*Assumptions!$C$7</f>
        <v>5000</v>
      </c>
      <c r="D29" s="36" t="n">
        <f aca="false">Assumptions!$D$23*(1+Assumptions!$F$23)^((B29-Assumptions!$C$4)/365)</f>
        <v>224.825</v>
      </c>
      <c r="E29" s="37" t="n">
        <f aca="false">C29/D29</f>
        <v>22.2395196263761</v>
      </c>
      <c r="F29" s="37" t="n">
        <f aca="false">F28+E29</f>
        <v>451.631126055968</v>
      </c>
      <c r="G29" s="35" t="n">
        <f aca="false">F29*D29</f>
        <v>101537.967915533</v>
      </c>
      <c r="H29" s="36" t="n">
        <f aca="false">Assumptions!$D$24*(1+Assumptions!$F$24)^((B29-Assumptions!$C$4)/365)</f>
        <v>194.35446909</v>
      </c>
      <c r="I29" s="37" t="n">
        <f aca="false">C29/H29</f>
        <v>25.7261900043299</v>
      </c>
      <c r="J29" s="37" t="n">
        <f aca="false">J28+I29</f>
        <v>518.965851884434</v>
      </c>
      <c r="K29" s="35" t="n">
        <f aca="false">J29*H29</f>
        <v>100863.332618839</v>
      </c>
      <c r="L29" s="35" t="n">
        <f aca="false">L28+C29</f>
        <v>89000</v>
      </c>
    </row>
    <row r="30" customFormat="false" ht="15" hidden="false" customHeight="false" outlineLevel="0" collapsed="false">
      <c r="A30" s="33" t="n">
        <v>26</v>
      </c>
      <c r="B30" s="34" t="n">
        <f aca="false">EDATE(B29,1)</f>
        <v>46419</v>
      </c>
      <c r="C30" s="35" t="n">
        <f aca="false">Assumptions!$C$6+(YEAR(B30)-YEAR(Assumptions!$C$4))*Assumptions!$C$7</f>
        <v>5000</v>
      </c>
      <c r="D30" s="36" t="n">
        <f aca="false">Assumptions!$D$23*(1+Assumptions!$F$23)^((B30-Assumptions!$C$4)/365)</f>
        <v>227.50961794227</v>
      </c>
      <c r="E30" s="37" t="n">
        <f aca="false">C30/D30</f>
        <v>21.9770928597346</v>
      </c>
      <c r="F30" s="37" t="n">
        <f aca="false">F29+E30</f>
        <v>473.608218915702</v>
      </c>
      <c r="G30" s="35" t="n">
        <f aca="false">F30*D30</f>
        <v>107750.42493983</v>
      </c>
      <c r="H30" s="36" t="n">
        <f aca="false">Assumptions!$D$24*(1+Assumptions!$F$24)^((B30-Assumptions!$C$4)/365)</f>
        <v>196.56012982766</v>
      </c>
      <c r="I30" s="37" t="n">
        <f aca="false">C30/H30</f>
        <v>25.4375086360794</v>
      </c>
      <c r="J30" s="37" t="n">
        <f aca="false">J29+I30</f>
        <v>544.403360520513</v>
      </c>
      <c r="K30" s="35" t="n">
        <f aca="false">J30*H30</f>
        <v>107007.995222527</v>
      </c>
      <c r="L30" s="35" t="n">
        <f aca="false">L29+C30</f>
        <v>94000</v>
      </c>
    </row>
    <row r="31" customFormat="false" ht="15" hidden="false" customHeight="false" outlineLevel="0" collapsed="false">
      <c r="A31" s="33" t="n">
        <v>27</v>
      </c>
      <c r="B31" s="34" t="n">
        <f aca="false">EDATE(B30,1)</f>
        <v>46447</v>
      </c>
      <c r="C31" s="35" t="n">
        <f aca="false">Assumptions!$C$6+(YEAR(B31)-YEAR(Assumptions!$C$4))*Assumptions!$C$7</f>
        <v>5000</v>
      </c>
      <c r="D31" s="36" t="n">
        <f aca="false">Assumptions!$D$23*(1+Assumptions!$F$23)^((B31-Assumptions!$C$4)/365)</f>
        <v>229.961977085969</v>
      </c>
      <c r="E31" s="37" t="n">
        <f aca="false">C31/D31</f>
        <v>21.7427248772122</v>
      </c>
      <c r="F31" s="37" t="n">
        <f aca="false">F30+E31</f>
        <v>495.350943792914</v>
      </c>
      <c r="G31" s="35" t="n">
        <f aca="false">F31*D31</f>
        <v>113911.882386019</v>
      </c>
      <c r="H31" s="36" t="n">
        <f aca="false">Assumptions!$D$24*(1+Assumptions!$F$24)^((B31-Assumptions!$C$4)/365)</f>
        <v>198.573846585254</v>
      </c>
      <c r="I31" s="37" t="n">
        <f aca="false">C31/H31</f>
        <v>25.179549502524</v>
      </c>
      <c r="J31" s="37" t="n">
        <f aca="false">J30+I31</f>
        <v>569.582910023037</v>
      </c>
      <c r="K31" s="35" t="n">
        <f aca="false">J31*H31</f>
        <v>113104.269392497</v>
      </c>
      <c r="L31" s="35" t="n">
        <f aca="false">L30+C31</f>
        <v>99000</v>
      </c>
    </row>
    <row r="32" customFormat="false" ht="15" hidden="false" customHeight="false" outlineLevel="0" collapsed="false">
      <c r="A32" s="33" t="n">
        <v>28</v>
      </c>
      <c r="B32" s="34" t="n">
        <f aca="false">EDATE(B31,1)</f>
        <v>46478</v>
      </c>
      <c r="C32" s="35" t="n">
        <f aca="false">Assumptions!$C$6+(YEAR(B32)-YEAR(Assumptions!$C$4))*Assumptions!$C$7</f>
        <v>5000</v>
      </c>
      <c r="D32" s="36" t="n">
        <f aca="false">Assumptions!$D$23*(1+Assumptions!$F$23)^((B32-Assumptions!$C$4)/365)</f>
        <v>232.707935274448</v>
      </c>
      <c r="E32" s="37" t="n">
        <f aca="false">C32/D32</f>
        <v>21.4861602983292</v>
      </c>
      <c r="F32" s="37" t="n">
        <f aca="false">F31+E32</f>
        <v>516.837104091244</v>
      </c>
      <c r="G32" s="35" t="n">
        <f aca="false">F32*D32</f>
        <v>120272.095366298</v>
      </c>
      <c r="H32" s="36" t="n">
        <f aca="false">Assumptions!$D$24*(1+Assumptions!$F$24)^((B32-Assumptions!$C$4)/365)</f>
        <v>200.827391558981</v>
      </c>
      <c r="I32" s="37" t="n">
        <f aca="false">C32/H32</f>
        <v>24.8970021528739</v>
      </c>
      <c r="J32" s="37" t="n">
        <f aca="false">J31+I32</f>
        <v>594.479912175911</v>
      </c>
      <c r="K32" s="35" t="n">
        <f aca="false">J32*H32</f>
        <v>119387.850096501</v>
      </c>
      <c r="L32" s="35" t="n">
        <f aca="false">L31+C32</f>
        <v>104000</v>
      </c>
    </row>
    <row r="33" customFormat="false" ht="15" hidden="false" customHeight="false" outlineLevel="0" collapsed="false">
      <c r="A33" s="33" t="n">
        <v>29</v>
      </c>
      <c r="B33" s="34" t="n">
        <f aca="false">EDATE(B32,1)</f>
        <v>46508</v>
      </c>
      <c r="C33" s="35" t="n">
        <f aca="false">Assumptions!$C$6+(YEAR(B33)-YEAR(Assumptions!$C$4))*Assumptions!$C$7</f>
        <v>5000</v>
      </c>
      <c r="D33" s="36" t="n">
        <f aca="false">Assumptions!$D$23*(1+Assumptions!$F$23)^((B33-Assumptions!$C$4)/365)</f>
        <v>235.396529926895</v>
      </c>
      <c r="E33" s="37" t="n">
        <f aca="false">C33/D33</f>
        <v>21.2407549149208</v>
      </c>
      <c r="F33" s="37" t="n">
        <f aca="false">F32+E33</f>
        <v>538.077859006164</v>
      </c>
      <c r="G33" s="35" t="n">
        <f aca="false">F33*D33</f>
        <v>126661.660840544</v>
      </c>
      <c r="H33" s="36" t="n">
        <f aca="false">Assumptions!$D$24*(1+Assumptions!$F$24)^((B33-Assumptions!$C$4)/365)</f>
        <v>203.032589083875</v>
      </c>
      <c r="I33" s="37" t="n">
        <f aca="false">C33/H33</f>
        <v>24.626588384461</v>
      </c>
      <c r="J33" s="37" t="n">
        <f aca="false">J32+I33</f>
        <v>619.106500560372</v>
      </c>
      <c r="K33" s="35" t="n">
        <f aca="false">J33*H33</f>
        <v>125698.79572743</v>
      </c>
      <c r="L33" s="35" t="n">
        <f aca="false">L32+C33</f>
        <v>109000</v>
      </c>
    </row>
    <row r="34" customFormat="false" ht="15" hidden="false" customHeight="false" outlineLevel="0" collapsed="false">
      <c r="A34" s="33" t="n">
        <v>30</v>
      </c>
      <c r="B34" s="34" t="n">
        <f aca="false">EDATE(B33,1)</f>
        <v>46539</v>
      </c>
      <c r="C34" s="35" t="n">
        <f aca="false">Assumptions!$C$6+(YEAR(B34)-YEAR(Assumptions!$C$4))*Assumptions!$C$7</f>
        <v>5000</v>
      </c>
      <c r="D34" s="36" t="n">
        <f aca="false">Assumptions!$D$23*(1+Assumptions!$F$23)^((B34-Assumptions!$C$4)/365)</f>
        <v>238.207381690666</v>
      </c>
      <c r="E34" s="37" t="n">
        <f aca="false">C34/D34</f>
        <v>20.9901135914124</v>
      </c>
      <c r="F34" s="37" t="n">
        <f aca="false">F33+E34</f>
        <v>559.067972597577</v>
      </c>
      <c r="G34" s="35" t="n">
        <f aca="false">F34*D34</f>
        <v>133174.117939578</v>
      </c>
      <c r="H34" s="36" t="n">
        <f aca="false">Assumptions!$D$24*(1+Assumptions!$F$24)^((B34-Assumptions!$C$4)/365)</f>
        <v>205.336734763183</v>
      </c>
      <c r="I34" s="37" t="n">
        <f aca="false">C34/H34</f>
        <v>24.3502459789602</v>
      </c>
      <c r="J34" s="37" t="n">
        <f aca="false">J33+I34</f>
        <v>643.456746539332</v>
      </c>
      <c r="K34" s="35" t="n">
        <f aca="false">J34*H34</f>
        <v>132125.307295727</v>
      </c>
      <c r="L34" s="35" t="n">
        <f aca="false">L33+C34</f>
        <v>114000</v>
      </c>
    </row>
    <row r="35" customFormat="false" ht="15" hidden="false" customHeight="false" outlineLevel="0" collapsed="false">
      <c r="A35" s="38" t="n">
        <v>31</v>
      </c>
      <c r="B35" s="39" t="n">
        <f aca="false">EDATE(B34,1)</f>
        <v>46569</v>
      </c>
      <c r="C35" s="40" t="n">
        <f aca="false">Assumptions!$C$6+(YEAR(B35)-YEAR(Assumptions!$C$4))*Assumptions!$C$7</f>
        <v>5000</v>
      </c>
      <c r="D35" s="41" t="n">
        <f aca="false">Assumptions!$D$23*(1+Assumptions!$F$23)^((B35-Assumptions!$C$4)/365)</f>
        <v>240.959514280522</v>
      </c>
      <c r="E35" s="42" t="n">
        <f aca="false">C35/D35</f>
        <v>20.7503738332534</v>
      </c>
      <c r="F35" s="42" t="n">
        <f aca="false">F34+E35</f>
        <v>579.81834643083</v>
      </c>
      <c r="G35" s="40" t="n">
        <f aca="false">F35*D35</f>
        <v>139712.747126908</v>
      </c>
      <c r="H35" s="41" t="n">
        <f aca="false">Assumptions!$D$24*(1+Assumptions!$F$24)^((B35-Assumptions!$C$4)/365)</f>
        <v>207.591447408478</v>
      </c>
      <c r="I35" s="42" t="n">
        <f aca="false">C35/H35</f>
        <v>24.085770692477</v>
      </c>
      <c r="J35" s="42" t="n">
        <f aca="false">J34+I35</f>
        <v>667.542517231809</v>
      </c>
      <c r="K35" s="40" t="n">
        <f aca="false">J35*H35</f>
        <v>138576.11735885</v>
      </c>
      <c r="L35" s="40" t="n">
        <f aca="false">L34+C35</f>
        <v>119000</v>
      </c>
    </row>
    <row r="36" customFormat="false" ht="15" hidden="false" customHeight="false" outlineLevel="0" collapsed="false">
      <c r="A36" s="38" t="n">
        <v>32</v>
      </c>
      <c r="B36" s="39" t="n">
        <f aca="false">EDATE(B35,1)</f>
        <v>46600</v>
      </c>
      <c r="C36" s="40" t="n">
        <f aca="false">Assumptions!$C$6+(YEAR(B36)-YEAR(Assumptions!$C$4))*Assumptions!$C$7</f>
        <v>5000</v>
      </c>
      <c r="D36" s="41" t="n">
        <f aca="false">Assumptions!$D$23*(1+Assumptions!$F$23)^((B36-Assumptions!$C$4)/365)</f>
        <v>243.836793210348</v>
      </c>
      <c r="E36" s="42" t="n">
        <f aca="false">C36/D36</f>
        <v>20.5055190161015</v>
      </c>
      <c r="F36" s="42" t="n">
        <f aca="false">F35+E36</f>
        <v>600.323865446932</v>
      </c>
      <c r="G36" s="40" t="n">
        <f aca="false">F36*D36</f>
        <v>146381.04623822</v>
      </c>
      <c r="H36" s="41" t="n">
        <f aca="false">Assumptions!$D$24*(1+Assumptions!$F$24)^((B36-Assumptions!$C$4)/365)</f>
        <v>209.947329972778</v>
      </c>
      <c r="I36" s="42" t="n">
        <f aca="false">C36/H36</f>
        <v>23.8154969660643</v>
      </c>
      <c r="J36" s="42" t="n">
        <f aca="false">J35+I36</f>
        <v>691.358014197874</v>
      </c>
      <c r="K36" s="40" t="n">
        <f aca="false">J36*H36</f>
        <v>145148.769136125</v>
      </c>
      <c r="L36" s="40" t="n">
        <f aca="false">L35+C36</f>
        <v>124000</v>
      </c>
    </row>
    <row r="37" customFormat="false" ht="15" hidden="false" customHeight="false" outlineLevel="0" collapsed="false">
      <c r="A37" s="38" t="n">
        <v>33</v>
      </c>
      <c r="B37" s="39" t="n">
        <f aca="false">EDATE(B36,1)</f>
        <v>46631</v>
      </c>
      <c r="C37" s="40" t="n">
        <f aca="false">Assumptions!$C$6+(YEAR(B37)-YEAR(Assumptions!$C$4))*Assumptions!$C$7</f>
        <v>5000</v>
      </c>
      <c r="D37" s="41" t="n">
        <f aca="false">Assumptions!$D$23*(1+Assumptions!$F$23)^((B37-Assumptions!$C$4)/365)</f>
        <v>246.748429505412</v>
      </c>
      <c r="E37" s="42" t="n">
        <f aca="false">C37/D37</f>
        <v>20.2635534905819</v>
      </c>
      <c r="F37" s="42" t="n">
        <f aca="false">F36+E37</f>
        <v>620.587418937514</v>
      </c>
      <c r="G37" s="40" t="n">
        <f aca="false">F37*D37</f>
        <v>153128.970993649</v>
      </c>
      <c r="H37" s="41" t="n">
        <f aca="false">Assumptions!$D$24*(1+Assumptions!$F$24)^((B37-Assumptions!$C$4)/365)</f>
        <v>212.329948622432</v>
      </c>
      <c r="I37" s="42" t="n">
        <f aca="false">C37/H37</f>
        <v>23.548256062978</v>
      </c>
      <c r="J37" s="42" t="n">
        <f aca="false">J36+I37</f>
        <v>714.906270260852</v>
      </c>
      <c r="K37" s="40" t="n">
        <f aca="false">J37*H37</f>
        <v>151796.011634341</v>
      </c>
      <c r="L37" s="40" t="n">
        <f aca="false">L36+C37</f>
        <v>129000</v>
      </c>
    </row>
    <row r="38" customFormat="false" ht="15" hidden="false" customHeight="false" outlineLevel="0" collapsed="false">
      <c r="A38" s="38" t="n">
        <v>34</v>
      </c>
      <c r="B38" s="39" t="n">
        <f aca="false">EDATE(B37,1)</f>
        <v>46661</v>
      </c>
      <c r="C38" s="40" t="n">
        <f aca="false">Assumptions!$C$6+(YEAR(B38)-YEAR(Assumptions!$C$4))*Assumptions!$C$7</f>
        <v>5000</v>
      </c>
      <c r="D38" s="41" t="n">
        <f aca="false">Assumptions!$D$23*(1+Assumptions!$F$23)^((B38-Assumptions!$C$4)/365)</f>
        <v>249.599241220473</v>
      </c>
      <c r="E38" s="42" t="n">
        <f aca="false">C38/D38</f>
        <v>20.0321121793133</v>
      </c>
      <c r="F38" s="42" t="n">
        <f aca="false">F37+E38</f>
        <v>640.619531116827</v>
      </c>
      <c r="G38" s="40" t="n">
        <f aca="false">F38*D38</f>
        <v>159898.148877775</v>
      </c>
      <c r="H38" s="41" t="n">
        <f aca="false">Assumptions!$D$24*(1+Assumptions!$F$24)^((B38-Assumptions!$C$4)/365)</f>
        <v>214.661450682626</v>
      </c>
      <c r="I38" s="42" t="n">
        <f aca="false">C38/H38</f>
        <v>23.2924914282464</v>
      </c>
      <c r="J38" s="42" t="n">
        <f aca="false">J37+I38</f>
        <v>738.198761689098</v>
      </c>
      <c r="K38" s="40" t="n">
        <f aca="false">J38*H38</f>
        <v>158462.8170763</v>
      </c>
      <c r="L38" s="40" t="n">
        <f aca="false">L37+C38</f>
        <v>134000</v>
      </c>
    </row>
    <row r="39" customFormat="false" ht="15" hidden="false" customHeight="false" outlineLevel="0" collapsed="false">
      <c r="A39" s="38" t="n">
        <v>35</v>
      </c>
      <c r="B39" s="39" t="n">
        <f aca="false">EDATE(B38,1)</f>
        <v>46692</v>
      </c>
      <c r="C39" s="40" t="n">
        <f aca="false">Assumptions!$C$6+(YEAR(B39)-YEAR(Assumptions!$C$4))*Assumptions!$C$7</f>
        <v>5000</v>
      </c>
      <c r="D39" s="41" t="n">
        <f aca="false">Assumptions!$D$23*(1+Assumptions!$F$23)^((B39-Assumptions!$C$4)/365)</f>
        <v>252.579686461694</v>
      </c>
      <c r="E39" s="42" t="n">
        <f aca="false">C39/D39</f>
        <v>19.7957328637285</v>
      </c>
      <c r="F39" s="42" t="n">
        <f aca="false">F38+E39</f>
        <v>660.415263980555</v>
      </c>
      <c r="G39" s="40" t="n">
        <f aca="false">F39*D39</f>
        <v>166807.480310725</v>
      </c>
      <c r="H39" s="41" t="n">
        <f aca="false">Assumptions!$D$24*(1+Assumptions!$F$24)^((B39-Assumptions!$C$4)/365)</f>
        <v>217.097568235656</v>
      </c>
      <c r="I39" s="42" t="n">
        <f aca="false">C39/H39</f>
        <v>23.0311193286725</v>
      </c>
      <c r="J39" s="42" t="n">
        <f aca="false">J38+I39</f>
        <v>761.229881017771</v>
      </c>
      <c r="K39" s="40" t="n">
        <f aca="false">J39*H39</f>
        <v>165261.156037275</v>
      </c>
      <c r="L39" s="40" t="n">
        <f aca="false">L38+C39</f>
        <v>139000</v>
      </c>
    </row>
    <row r="40" customFormat="false" ht="15" hidden="false" customHeight="false" outlineLevel="0" collapsed="false">
      <c r="A40" s="38" t="n">
        <v>36</v>
      </c>
      <c r="B40" s="39" t="n">
        <f aca="false">EDATE(B39,1)</f>
        <v>46722</v>
      </c>
      <c r="C40" s="40" t="n">
        <f aca="false">Assumptions!$C$6+(YEAR(B40)-YEAR(Assumptions!$C$4))*Assumptions!$C$7</f>
        <v>5000</v>
      </c>
      <c r="D40" s="41" t="n">
        <f aca="false">Assumptions!$D$23*(1+Assumptions!$F$23)^((B40-Assumptions!$C$4)/365)</f>
        <v>255.497869692261</v>
      </c>
      <c r="E40" s="42" t="n">
        <f aca="false">C40/D40</f>
        <v>19.5696347919548</v>
      </c>
      <c r="F40" s="42" t="n">
        <f aca="false">F39+E40</f>
        <v>679.98489877251</v>
      </c>
      <c r="G40" s="40" t="n">
        <f aca="false">F40*D40</f>
        <v>173734.693059284</v>
      </c>
      <c r="H40" s="41" t="n">
        <f aca="false">Assumptions!$D$24*(1+Assumptions!$F$24)^((B40-Assumptions!$C$4)/365)</f>
        <v>219.481421436244</v>
      </c>
      <c r="I40" s="42" t="n">
        <f aca="false">C40/H40</f>
        <v>22.7809714703001</v>
      </c>
      <c r="J40" s="42" t="n">
        <f aca="false">J39+I40</f>
        <v>784.010852488071</v>
      </c>
      <c r="K40" s="40" t="n">
        <f aca="false">J40*H40</f>
        <v>172075.816325524</v>
      </c>
      <c r="L40" s="40" t="n">
        <f aca="false">L39+C40</f>
        <v>144000</v>
      </c>
    </row>
    <row r="41" customFormat="false" ht="15" hidden="false" customHeight="false" outlineLevel="0" collapsed="false">
      <c r="A41" s="33" t="n">
        <v>37</v>
      </c>
      <c r="B41" s="34" t="n">
        <f aca="false">EDATE(B40,1)</f>
        <v>46753</v>
      </c>
      <c r="C41" s="35" t="n">
        <f aca="false">Assumptions!$C$6+(YEAR(B41)-YEAR(Assumptions!$C$4))*Assumptions!$C$7</f>
        <v>6000</v>
      </c>
      <c r="D41" s="36" t="n">
        <f aca="false">Assumptions!$D$23*(1+Assumptions!$F$23)^((B41-Assumptions!$C$4)/365)</f>
        <v>258.54875</v>
      </c>
      <c r="E41" s="37" t="n">
        <f aca="false">C41/D41</f>
        <v>23.2064552623055</v>
      </c>
      <c r="F41" s="37" t="n">
        <f aca="false">F40+E41</f>
        <v>703.191354034816</v>
      </c>
      <c r="G41" s="35" t="n">
        <f aca="false">F41*D41</f>
        <v>181809.245596509</v>
      </c>
      <c r="H41" s="36" t="n">
        <f aca="false">Assumptions!$D$24*(1+Assumptions!$F$24)^((B41-Assumptions!$C$4)/365)</f>
        <v>221.972239147689</v>
      </c>
      <c r="I41" s="37" t="n">
        <f aca="false">C41/H41</f>
        <v>27.0304071492828</v>
      </c>
      <c r="J41" s="37" t="n">
        <f aca="false">J40+I41</f>
        <v>811.041259637353</v>
      </c>
      <c r="K41" s="35" t="n">
        <f aca="false">J41*H41</f>
        <v>180028.644442866</v>
      </c>
      <c r="L41" s="35" t="n">
        <f aca="false">L40+C41</f>
        <v>150000</v>
      </c>
    </row>
    <row r="42" customFormat="false" ht="15" hidden="false" customHeight="false" outlineLevel="0" collapsed="false">
      <c r="A42" s="33" t="n">
        <v>38</v>
      </c>
      <c r="B42" s="34" t="n">
        <f aca="false">EDATE(B41,1)</f>
        <v>46784</v>
      </c>
      <c r="C42" s="35" t="n">
        <f aca="false">Assumptions!$C$6+(YEAR(B42)-YEAR(Assumptions!$C$4))*Assumptions!$C$7</f>
        <v>6000</v>
      </c>
      <c r="D42" s="36" t="n">
        <f aca="false">Assumptions!$D$23*(1+Assumptions!$F$23)^((B42-Assumptions!$C$4)/365)</f>
        <v>261.63606063361</v>
      </c>
      <c r="E42" s="37" t="n">
        <f aca="false">C42/D42</f>
        <v>22.9326186362448</v>
      </c>
      <c r="F42" s="37" t="n">
        <f aca="false">F41+E42</f>
        <v>726.123972671061</v>
      </c>
      <c r="G42" s="35" t="n">
        <f aca="false">F42*D42</f>
        <v>189980.215741283</v>
      </c>
      <c r="H42" s="36" t="n">
        <f aca="false">Assumptions!$D$24*(1+Assumptions!$F$24)^((B42-Assumptions!$C$4)/365)</f>
        <v>224.491324276171</v>
      </c>
      <c r="I42" s="37" t="n">
        <f aca="false">C42/H42</f>
        <v>26.7270907655155</v>
      </c>
      <c r="J42" s="37" t="n">
        <f aca="false">J41+I42</f>
        <v>837.768350402869</v>
      </c>
      <c r="K42" s="35" t="n">
        <f aca="false">J42*H42</f>
        <v>188071.726418603</v>
      </c>
      <c r="L42" s="35" t="n">
        <f aca="false">L41+C42</f>
        <v>156000</v>
      </c>
    </row>
    <row r="43" customFormat="false" ht="15" hidden="false" customHeight="false" outlineLevel="0" collapsed="false">
      <c r="A43" s="33" t="n">
        <v>39</v>
      </c>
      <c r="B43" s="34" t="n">
        <f aca="false">EDATE(B42,1)</f>
        <v>46813</v>
      </c>
      <c r="C43" s="35" t="n">
        <f aca="false">Assumptions!$C$6+(YEAR(B43)-YEAR(Assumptions!$C$4))*Assumptions!$C$7</f>
        <v>6000</v>
      </c>
      <c r="D43" s="36" t="n">
        <f aca="false">Assumptions!$D$23*(1+Assumptions!$F$23)^((B43-Assumptions!$C$4)/365)</f>
        <v>264.55755583989</v>
      </c>
      <c r="E43" s="37" t="n">
        <f aca="false">C43/D43</f>
        <v>22.6793749320514</v>
      </c>
      <c r="F43" s="37" t="n">
        <f aca="false">F42+E43</f>
        <v>748.803347603112</v>
      </c>
      <c r="G43" s="35" t="n">
        <f aca="false">F43*D43</f>
        <v>198101.583446607</v>
      </c>
      <c r="H43" s="36" t="n">
        <f aca="false">Assumptions!$D$24*(1+Assumptions!$F$24)^((B43-Assumptions!$C$4)/365)</f>
        <v>226.873762595471</v>
      </c>
      <c r="I43" s="37" t="n">
        <f aca="false">C43/H43</f>
        <v>26.4464252338352</v>
      </c>
      <c r="J43" s="37" t="n">
        <f aca="false">J42+I43</f>
        <v>864.214775636704</v>
      </c>
      <c r="K43" s="35" t="n">
        <f aca="false">J43*H43</f>
        <v>196067.6578393</v>
      </c>
      <c r="L43" s="35" t="n">
        <f aca="false">L42+C43</f>
        <v>162000</v>
      </c>
    </row>
    <row r="44" customFormat="false" ht="15" hidden="false" customHeight="false" outlineLevel="0" collapsed="false">
      <c r="A44" s="33" t="n">
        <v>40</v>
      </c>
      <c r="B44" s="34" t="n">
        <f aca="false">EDATE(B43,1)</f>
        <v>46844</v>
      </c>
      <c r="C44" s="35" t="n">
        <f aca="false">Assumptions!$C$6+(YEAR(B44)-YEAR(Assumptions!$C$4))*Assumptions!$C$7</f>
        <v>6000</v>
      </c>
      <c r="D44" s="36" t="n">
        <f aca="false">Assumptions!$D$23*(1+Assumptions!$F$23)^((B44-Assumptions!$C$4)/365)</f>
        <v>267.716617159453</v>
      </c>
      <c r="E44" s="37" t="n">
        <f aca="false">C44/D44</f>
        <v>22.4117578641985</v>
      </c>
      <c r="F44" s="37" t="n">
        <f aca="false">F43+E44</f>
        <v>771.21510546731</v>
      </c>
      <c r="G44" s="35" t="n">
        <f aca="false">F44*D44</f>
        <v>206467.099137979</v>
      </c>
      <c r="H44" s="36" t="n">
        <f aca="false">Assumptions!$D$24*(1+Assumptions!$F$24)^((B44-Assumptions!$C$4)/365)</f>
        <v>229.448473395306</v>
      </c>
      <c r="I44" s="37" t="n">
        <f aca="false">C44/H44</f>
        <v>26.1496618879782</v>
      </c>
      <c r="J44" s="37" t="n">
        <f aca="false">J43+I44</f>
        <v>890.364437524682</v>
      </c>
      <c r="K44" s="35" t="n">
        <f aca="false">J44*H44</f>
        <v>204292.760955508</v>
      </c>
      <c r="L44" s="35" t="n">
        <f aca="false">L43+C44</f>
        <v>168000</v>
      </c>
    </row>
    <row r="45" customFormat="false" ht="15" hidden="false" customHeight="false" outlineLevel="0" collapsed="false">
      <c r="A45" s="33" t="n">
        <v>41</v>
      </c>
      <c r="B45" s="34" t="n">
        <f aca="false">EDATE(B44,1)</f>
        <v>46874</v>
      </c>
      <c r="C45" s="35" t="n">
        <f aca="false">Assumptions!$C$6+(YEAR(B45)-YEAR(Assumptions!$C$4))*Assumptions!$C$7</f>
        <v>6000</v>
      </c>
      <c r="D45" s="36" t="n">
        <f aca="false">Assumptions!$D$23*(1+Assumptions!$F$23)^((B45-Assumptions!$C$4)/365)</f>
        <v>270.809685147949</v>
      </c>
      <c r="E45" s="37" t="n">
        <f aca="false">C45/D45</f>
        <v>22.1557807163436</v>
      </c>
      <c r="F45" s="37" t="n">
        <f aca="false">F44+E45</f>
        <v>793.370886183654</v>
      </c>
      <c r="G45" s="35" t="n">
        <f aca="false">F45*D45</f>
        <v>214852.519892944</v>
      </c>
      <c r="H45" s="36" t="n">
        <f aca="false">Assumptions!$D$24*(1+Assumptions!$F$24)^((B45-Assumptions!$C$4)/365)</f>
        <v>231.967946469642</v>
      </c>
      <c r="I45" s="37" t="n">
        <f aca="false">C45/H45</f>
        <v>25.8656426084508</v>
      </c>
      <c r="J45" s="37" t="n">
        <f aca="false">J44+I45</f>
        <v>916.230080133133</v>
      </c>
      <c r="K45" s="35" t="n">
        <f aca="false">J45*H45</f>
        <v>212536.010182198</v>
      </c>
      <c r="L45" s="35" t="n">
        <f aca="false">L44+C45</f>
        <v>174000</v>
      </c>
    </row>
    <row r="46" customFormat="false" ht="15" hidden="false" customHeight="false" outlineLevel="0" collapsed="false">
      <c r="A46" s="33" t="n">
        <v>42</v>
      </c>
      <c r="B46" s="34" t="n">
        <f aca="false">EDATE(B45,1)</f>
        <v>46905</v>
      </c>
      <c r="C46" s="35" t="n">
        <f aca="false">Assumptions!$C$6+(YEAR(B46)-YEAR(Assumptions!$C$4))*Assumptions!$C$7</f>
        <v>6000</v>
      </c>
      <c r="D46" s="36" t="n">
        <f aca="false">Assumptions!$D$23*(1+Assumptions!$F$23)^((B46-Assumptions!$C$4)/365)</f>
        <v>274.043402660185</v>
      </c>
      <c r="E46" s="37" t="n">
        <f aca="false">C46/D46</f>
        <v>21.8943420704786</v>
      </c>
      <c r="F46" s="37" t="n">
        <f aca="false">F45+E46</f>
        <v>815.265228254133</v>
      </c>
      <c r="G46" s="35" t="n">
        <f aca="false">F46*D46</f>
        <v>223418.057221295</v>
      </c>
      <c r="H46" s="36" t="n">
        <f aca="false">Assumptions!$D$24*(1+Assumptions!$F$24)^((B46-Assumptions!$C$4)/365)</f>
        <v>234.60046937647</v>
      </c>
      <c r="I46" s="37" t="n">
        <f aca="false">C46/H46</f>
        <v>25.5753964003015</v>
      </c>
      <c r="J46" s="37" t="n">
        <f aca="false">J45+I46</f>
        <v>941.805476533434</v>
      </c>
      <c r="K46" s="35" t="n">
        <f aca="false">J46*H46</f>
        <v>220948.006856073</v>
      </c>
      <c r="L46" s="35" t="n">
        <f aca="false">L45+C46</f>
        <v>180000</v>
      </c>
    </row>
    <row r="47" customFormat="false" ht="15" hidden="false" customHeight="false" outlineLevel="0" collapsed="false">
      <c r="A47" s="38" t="n">
        <v>43</v>
      </c>
      <c r="B47" s="39" t="n">
        <f aca="false">EDATE(B46,1)</f>
        <v>46935</v>
      </c>
      <c r="C47" s="40" t="n">
        <f aca="false">Assumptions!$C$6+(YEAR(B47)-YEAR(Assumptions!$C$4))*Assumptions!$C$7</f>
        <v>6000</v>
      </c>
      <c r="D47" s="41" t="n">
        <f aca="false">Assumptions!$D$23*(1+Assumptions!$F$23)^((B47-Assumptions!$C$4)/365)</f>
        <v>277.209567260725</v>
      </c>
      <c r="E47" s="42" t="n">
        <f aca="false">C47/D47</f>
        <v>21.6442746160951</v>
      </c>
      <c r="F47" s="42" t="n">
        <f aca="false">F46+E47</f>
        <v>836.909502870228</v>
      </c>
      <c r="G47" s="40" t="n">
        <f aca="false">F47*D47</f>
        <v>231999.321127044</v>
      </c>
      <c r="H47" s="41" t="n">
        <f aca="false">Assumptions!$D$24*(1+Assumptions!$F$24)^((B47-Assumptions!$C$4)/365)</f>
        <v>237.176514259551</v>
      </c>
      <c r="I47" s="42" t="n">
        <f aca="false">C47/H47</f>
        <v>25.2976143895681</v>
      </c>
      <c r="J47" s="42" t="n">
        <f aca="false">J46+I47</f>
        <v>967.103090923003</v>
      </c>
      <c r="K47" s="40" t="n">
        <f aca="false">J47*H47</f>
        <v>229374.140034755</v>
      </c>
      <c r="L47" s="40" t="n">
        <f aca="false">L46+C47</f>
        <v>186000</v>
      </c>
    </row>
    <row r="48" customFormat="false" ht="15" hidden="false" customHeight="false" outlineLevel="0" collapsed="false">
      <c r="A48" s="38" t="n">
        <v>44</v>
      </c>
      <c r="B48" s="39" t="n">
        <f aca="false">EDATE(B47,1)</f>
        <v>46966</v>
      </c>
      <c r="C48" s="40" t="n">
        <f aca="false">Assumptions!$C$6+(YEAR(B48)-YEAR(Assumptions!$C$4))*Assumptions!$C$7</f>
        <v>6000</v>
      </c>
      <c r="D48" s="41" t="n">
        <f aca="false">Assumptions!$D$23*(1+Assumptions!$F$23)^((B48-Assumptions!$C$4)/365)</f>
        <v>280.519705270452</v>
      </c>
      <c r="E48" s="42" t="n">
        <f aca="false">C48/D48</f>
        <v>21.3888717522191</v>
      </c>
      <c r="F48" s="42" t="n">
        <f aca="false">F47+E48</f>
        <v>858.298374622447</v>
      </c>
      <c r="G48" s="40" t="n">
        <f aca="false">F48*D48</f>
        <v>240769.607083197</v>
      </c>
      <c r="H48" s="41" t="n">
        <f aca="false">Assumptions!$D$24*(1+Assumptions!$F$24)^((B48-Assumptions!$C$4)/365)</f>
        <v>239.868147376333</v>
      </c>
      <c r="I48" s="42" t="n">
        <f aca="false">C48/H48</f>
        <v>25.0137421980689</v>
      </c>
      <c r="J48" s="42" t="n">
        <f aca="false">J47+I48</f>
        <v>992.116833121071</v>
      </c>
      <c r="K48" s="40" t="n">
        <f aca="false">J48*H48</f>
        <v>237977.226741626</v>
      </c>
      <c r="L48" s="40" t="n">
        <f aca="false">L47+C48</f>
        <v>192000</v>
      </c>
    </row>
    <row r="49" customFormat="false" ht="15" hidden="false" customHeight="false" outlineLevel="0" collapsed="false">
      <c r="A49" s="38" t="n">
        <v>45</v>
      </c>
      <c r="B49" s="39" t="n">
        <f aca="false">EDATE(B48,1)</f>
        <v>46997</v>
      </c>
      <c r="C49" s="40" t="n">
        <f aca="false">Assumptions!$C$6+(YEAR(B49)-YEAR(Assumptions!$C$4))*Assumptions!$C$7</f>
        <v>6000</v>
      </c>
      <c r="D49" s="41" t="n">
        <f aca="false">Assumptions!$D$23*(1+Assumptions!$F$23)^((B49-Assumptions!$C$4)/365)</f>
        <v>283.869369382224</v>
      </c>
      <c r="E49" s="42" t="n">
        <f aca="false">C49/D49</f>
        <v>21.1364826471331</v>
      </c>
      <c r="F49" s="42" t="n">
        <f aca="false">F48+E49</f>
        <v>879.43485726958</v>
      </c>
      <c r="G49" s="40" t="n">
        <f aca="false">F49*D49</f>
        <v>249644.618345862</v>
      </c>
      <c r="H49" s="41" t="n">
        <f aca="false">Assumptions!$D$24*(1+Assumptions!$F$24)^((B49-Assumptions!$C$4)/365)</f>
        <v>242.590326893792</v>
      </c>
      <c r="I49" s="42" t="n">
        <f aca="false">C49/H49</f>
        <v>24.7330554223906</v>
      </c>
      <c r="J49" s="42" t="n">
        <f aca="false">J48+I49</f>
        <v>1016.84988854346</v>
      </c>
      <c r="K49" s="40" t="n">
        <f aca="false">J49*H49</f>
        <v>246677.946863674</v>
      </c>
      <c r="L49" s="40" t="n">
        <f aca="false">L48+C49</f>
        <v>198000</v>
      </c>
    </row>
    <row r="50" customFormat="false" ht="15" hidden="false" customHeight="false" outlineLevel="0" collapsed="false">
      <c r="A50" s="38" t="n">
        <v>46</v>
      </c>
      <c r="B50" s="39" t="n">
        <f aca="false">EDATE(B49,1)</f>
        <v>47027</v>
      </c>
      <c r="C50" s="40" t="n">
        <f aca="false">Assumptions!$C$6+(YEAR(B50)-YEAR(Assumptions!$C$4))*Assumptions!$C$7</f>
        <v>6000</v>
      </c>
      <c r="D50" s="41" t="n">
        <f aca="false">Assumptions!$D$23*(1+Assumptions!$F$23)^((B50-Assumptions!$C$4)/365)</f>
        <v>287.149058438012</v>
      </c>
      <c r="E50" s="42" t="n">
        <f aca="false">C50/D50</f>
        <v>20.8950711266053</v>
      </c>
      <c r="F50" s="42" t="n">
        <f aca="false">F49+E50</f>
        <v>900.329928396185</v>
      </c>
      <c r="G50" s="40" t="n">
        <f aca="false">F50*D50</f>
        <v>258528.891222528</v>
      </c>
      <c r="H50" s="41" t="n">
        <f aca="false">Assumptions!$D$24*(1+Assumptions!$F$24)^((B50-Assumptions!$C$4)/365)</f>
        <v>245.254104898757</v>
      </c>
      <c r="I50" s="42" t="n">
        <f aca="false">C50/H50</f>
        <v>24.464422328331</v>
      </c>
      <c r="J50" s="42" t="n">
        <f aca="false">J49+I50</f>
        <v>1041.31431087179</v>
      </c>
      <c r="K50" s="40" t="n">
        <f aca="false">J50*H50</f>
        <v>255386.609231128</v>
      </c>
      <c r="L50" s="40" t="n">
        <f aca="false">L49+C50</f>
        <v>204000</v>
      </c>
    </row>
    <row r="51" customFormat="false" ht="15" hidden="false" customHeight="false" outlineLevel="0" collapsed="false">
      <c r="A51" s="38" t="n">
        <v>47</v>
      </c>
      <c r="B51" s="39" t="n">
        <f aca="false">EDATE(B50,1)</f>
        <v>47058</v>
      </c>
      <c r="C51" s="40" t="n">
        <f aca="false">Assumptions!$C$6+(YEAR(B51)-YEAR(Assumptions!$C$4))*Assumptions!$C$7</f>
        <v>6000</v>
      </c>
      <c r="D51" s="41" t="n">
        <f aca="false">Assumptions!$D$23*(1+Assumptions!$F$23)^((B51-Assumptions!$C$4)/365)</f>
        <v>290.577883143399</v>
      </c>
      <c r="E51" s="42" t="n">
        <f aca="false">C51/D51</f>
        <v>20.6485088785612</v>
      </c>
      <c r="F51" s="42" t="n">
        <f aca="false">F50+E51</f>
        <v>920.978437274746</v>
      </c>
      <c r="G51" s="40" t="n">
        <f aca="false">F51*D51</f>
        <v>267615.964724011</v>
      </c>
      <c r="H51" s="41" t="n">
        <f aca="false">Assumptions!$D$24*(1+Assumptions!$F$24)^((B51-Assumptions!$C$4)/365)</f>
        <v>248.03740776006</v>
      </c>
      <c r="I51" s="42" t="n">
        <f aca="false">C51/H51</f>
        <v>24.189899637252</v>
      </c>
      <c r="J51" s="42" t="n">
        <f aca="false">J50+I51</f>
        <v>1065.50421050905</v>
      </c>
      <c r="K51" s="40" t="n">
        <f aca="false">J51*H51</f>
        <v>264284.902332093</v>
      </c>
      <c r="L51" s="40" t="n">
        <f aca="false">L50+C51</f>
        <v>210000</v>
      </c>
    </row>
    <row r="52" customFormat="false" ht="15" hidden="false" customHeight="false" outlineLevel="0" collapsed="false">
      <c r="A52" s="38" t="n">
        <v>48</v>
      </c>
      <c r="B52" s="39" t="n">
        <f aca="false">EDATE(B51,1)</f>
        <v>47088</v>
      </c>
      <c r="C52" s="40" t="n">
        <f aca="false">Assumptions!$C$6+(YEAR(B52)-YEAR(Assumptions!$C$4))*Assumptions!$C$7</f>
        <v>6000</v>
      </c>
      <c r="D52" s="41" t="n">
        <f aca="false">Assumptions!$D$23*(1+Assumptions!$F$23)^((B52-Assumptions!$C$4)/365)</f>
        <v>293.935079114466</v>
      </c>
      <c r="E52" s="42" t="n">
        <f aca="false">C52/D52</f>
        <v>20.4126707777653</v>
      </c>
      <c r="F52" s="42" t="n">
        <f aca="false">F51+E52</f>
        <v>941.391108052512</v>
      </c>
      <c r="G52" s="40" t="n">
        <f aca="false">F52*D52</f>
        <v>276707.86982307</v>
      </c>
      <c r="H52" s="41" t="n">
        <f aca="false">Assumptions!$D$24*(1+Assumptions!$F$24)^((B52-Assumptions!$C$4)/365)</f>
        <v>250.760997771501</v>
      </c>
      <c r="I52" s="42" t="n">
        <f aca="false">C52/H52</f>
        <v>23.9271659202255</v>
      </c>
      <c r="J52" s="42" t="n">
        <f aca="false">J51+I52</f>
        <v>1089.43137642927</v>
      </c>
      <c r="K52" s="40" t="n">
        <f aca="false">J52*H52</f>
        <v>273186.898956983</v>
      </c>
      <c r="L52" s="40" t="n">
        <f aca="false">L51+C52</f>
        <v>216000</v>
      </c>
    </row>
    <row r="53" customFormat="false" ht="15" hidden="false" customHeight="false" outlineLevel="0" collapsed="false">
      <c r="A53" s="33" t="n">
        <v>49</v>
      </c>
      <c r="B53" s="34" t="n">
        <f aca="false">EDATE(B52,1)</f>
        <v>47119</v>
      </c>
      <c r="C53" s="35" t="n">
        <f aca="false">Assumptions!$C$6+(YEAR(B53)-YEAR(Assumptions!$C$4))*Assumptions!$C$7</f>
        <v>7000</v>
      </c>
      <c r="D53" s="36" t="n">
        <f aca="false">Assumptions!$D$23*(1+Assumptions!$F$23)^((B53-Assumptions!$C$4)/365)</f>
        <v>297.444935168077</v>
      </c>
      <c r="E53" s="37" t="n">
        <f aca="false">C53/D53</f>
        <v>23.5337676738201</v>
      </c>
      <c r="F53" s="37" t="n">
        <f aca="false">F52+E53</f>
        <v>964.924875726332</v>
      </c>
      <c r="G53" s="35" t="n">
        <f aca="false">F53*D53</f>
        <v>287012.017102484</v>
      </c>
      <c r="H53" s="36" t="n">
        <f aca="false">Assumptions!$D$24*(1+Assumptions!$F$24)^((B53-Assumptions!$C$4)/365)</f>
        <v>253.606796429544</v>
      </c>
      <c r="I53" s="37" t="n">
        <f aca="false">C53/H53</f>
        <v>27.6017839369881</v>
      </c>
      <c r="J53" s="37" t="n">
        <f aca="false">J52+I53</f>
        <v>1117.03316036626</v>
      </c>
      <c r="K53" s="35" t="n">
        <f aca="false">J53*H53</f>
        <v>283287.201306056</v>
      </c>
      <c r="L53" s="35" t="n">
        <f aca="false">L52+C53</f>
        <v>223000</v>
      </c>
    </row>
    <row r="54" customFormat="false" ht="15" hidden="false" customHeight="false" outlineLevel="0" collapsed="false">
      <c r="A54" s="33" t="n">
        <v>50</v>
      </c>
      <c r="B54" s="34" t="n">
        <f aca="false">EDATE(B53,1)</f>
        <v>47150</v>
      </c>
      <c r="C54" s="35" t="n">
        <f aca="false">Assumptions!$C$6+(YEAR(B54)-YEAR(Assumptions!$C$4))*Assumptions!$C$7</f>
        <v>7000</v>
      </c>
      <c r="D54" s="36" t="n">
        <f aca="false">Assumptions!$D$23*(1+Assumptions!$F$23)^((B54-Assumptions!$C$4)/365)</f>
        <v>300.996702141454</v>
      </c>
      <c r="E54" s="37" t="n">
        <f aca="false">C54/D54</f>
        <v>23.2560687549006</v>
      </c>
      <c r="F54" s="37" t="n">
        <f aca="false">F53+E54</f>
        <v>988.180944481232</v>
      </c>
      <c r="G54" s="35" t="n">
        <f aca="false">F54*D54</f>
        <v>297439.205407878</v>
      </c>
      <c r="H54" s="36" t="n">
        <f aca="false">Assumptions!$D$24*(1+Assumptions!$F$24)^((B54-Assumptions!$C$4)/365)</f>
        <v>256.484891058947</v>
      </c>
      <c r="I54" s="37" t="n">
        <f aca="false">C54/H54</f>
        <v>27.292055961266</v>
      </c>
      <c r="J54" s="37" t="n">
        <f aca="false">J53+I54</f>
        <v>1144.32521632752</v>
      </c>
      <c r="K54" s="35" t="n">
        <f aca="false">J54*H54</f>
        <v>293502.128445772</v>
      </c>
      <c r="L54" s="35" t="n">
        <f aca="false">L53+C54</f>
        <v>230000</v>
      </c>
    </row>
    <row r="55" customFormat="false" ht="15" hidden="false" customHeight="false" outlineLevel="0" collapsed="false">
      <c r="A55" s="33" t="n">
        <v>51</v>
      </c>
      <c r="B55" s="34" t="n">
        <f aca="false">EDATE(B54,1)</f>
        <v>47178</v>
      </c>
      <c r="C55" s="35" t="n">
        <f aca="false">Assumptions!$C$6+(YEAR(B55)-YEAR(Assumptions!$C$4))*Assumptions!$C$7</f>
        <v>7000</v>
      </c>
      <c r="D55" s="36" t="n">
        <f aca="false">Assumptions!$D$23*(1+Assumptions!$F$23)^((B55-Assumptions!$C$4)/365)</f>
        <v>304.241189215874</v>
      </c>
      <c r="E55" s="37" t="n">
        <f aca="false">C55/D55</f>
        <v>23.0080615252695</v>
      </c>
      <c r="F55" s="37" t="n">
        <f aca="false">F54+E55</f>
        <v>1011.1890060065</v>
      </c>
      <c r="G55" s="35" t="n">
        <f aca="false">F55*D55</f>
        <v>307645.345709436</v>
      </c>
      <c r="H55" s="36" t="n">
        <f aca="false">Assumptions!$D$24*(1+Assumptions!$F$24)^((B55-Assumptions!$C$4)/365)</f>
        <v>259.112524260288</v>
      </c>
      <c r="I55" s="37" t="n">
        <f aca="false">C55/H55</f>
        <v>27.0152900558688</v>
      </c>
      <c r="J55" s="37" t="n">
        <f aca="false">J54+I55</f>
        <v>1171.34050638339</v>
      </c>
      <c r="K55" s="35" t="n">
        <f aca="false">J55*H55</f>
        <v>303508.995377325</v>
      </c>
      <c r="L55" s="35" t="n">
        <f aca="false">L54+C55</f>
        <v>237000</v>
      </c>
    </row>
    <row r="56" customFormat="false" ht="15" hidden="false" customHeight="false" outlineLevel="0" collapsed="false">
      <c r="A56" s="33" t="n">
        <v>52</v>
      </c>
      <c r="B56" s="34" t="n">
        <f aca="false">EDATE(B55,1)</f>
        <v>47209</v>
      </c>
      <c r="C56" s="35" t="n">
        <f aca="false">Assumptions!$C$6+(YEAR(B56)-YEAR(Assumptions!$C$4))*Assumptions!$C$7</f>
        <v>7000</v>
      </c>
      <c r="D56" s="36" t="n">
        <f aca="false">Assumptions!$D$23*(1+Assumptions!$F$23)^((B56-Assumptions!$C$4)/365)</f>
        <v>307.874109733371</v>
      </c>
      <c r="E56" s="37" t="n">
        <f aca="false">C56/D56</f>
        <v>22.7365659491869</v>
      </c>
      <c r="F56" s="37" t="n">
        <f aca="false">F55+E56</f>
        <v>1033.92557195569</v>
      </c>
      <c r="G56" s="35" t="n">
        <f aca="false">F56*D56</f>
        <v>318318.914996424</v>
      </c>
      <c r="H56" s="36" t="n">
        <f aca="false">Assumptions!$D$24*(1+Assumptions!$F$24)^((B56-Assumptions!$C$4)/365)</f>
        <v>262.053101464779</v>
      </c>
      <c r="I56" s="37" t="n">
        <f aca="false">C56/H56</f>
        <v>26.7121433055844</v>
      </c>
      <c r="J56" s="37" t="n">
        <f aca="false">J55+I56</f>
        <v>1198.05264968898</v>
      </c>
      <c r="K56" s="35" t="n">
        <f aca="false">J56*H56</f>
        <v>313953.412569092</v>
      </c>
      <c r="L56" s="35" t="n">
        <f aca="false">L55+C56</f>
        <v>244000</v>
      </c>
    </row>
    <row r="57" customFormat="false" ht="15" hidden="false" customHeight="false" outlineLevel="0" collapsed="false">
      <c r="A57" s="33" t="n">
        <v>53</v>
      </c>
      <c r="B57" s="34" t="n">
        <f aca="false">EDATE(B56,1)</f>
        <v>47239</v>
      </c>
      <c r="C57" s="35" t="n">
        <f aca="false">Assumptions!$C$6+(YEAR(B57)-YEAR(Assumptions!$C$4))*Assumptions!$C$7</f>
        <v>7000</v>
      </c>
      <c r="D57" s="36" t="n">
        <f aca="false">Assumptions!$D$23*(1+Assumptions!$F$23)^((B57-Assumptions!$C$4)/365)</f>
        <v>311.431137920141</v>
      </c>
      <c r="E57" s="37" t="n">
        <f aca="false">C57/D57</f>
        <v>22.476878987595</v>
      </c>
      <c r="F57" s="37" t="n">
        <f aca="false">F56+E57</f>
        <v>1056.40245094328</v>
      </c>
      <c r="G57" s="35" t="n">
        <f aca="false">F57*D57</f>
        <v>328996.617398893</v>
      </c>
      <c r="H57" s="36" t="n">
        <f aca="false">Assumptions!$D$24*(1+Assumptions!$F$24)^((B57-Assumptions!$C$4)/365)</f>
        <v>264.930591662978</v>
      </c>
      <c r="I57" s="37" t="n">
        <f aca="false">C57/H57</f>
        <v>26.4220147475638</v>
      </c>
      <c r="J57" s="37" t="n">
        <f aca="false">J56+I57</f>
        <v>1224.47466443654</v>
      </c>
      <c r="K57" s="35" t="n">
        <f aca="false">J57*H57</f>
        <v>324400.797325499</v>
      </c>
      <c r="L57" s="35" t="n">
        <f aca="false">L56+C57</f>
        <v>251000</v>
      </c>
    </row>
    <row r="58" customFormat="false" ht="15" hidden="false" customHeight="false" outlineLevel="0" collapsed="false">
      <c r="A58" s="33" t="n">
        <v>54</v>
      </c>
      <c r="B58" s="34" t="n">
        <f aca="false">EDATE(B57,1)</f>
        <v>47270</v>
      </c>
      <c r="C58" s="35" t="n">
        <f aca="false">Assumptions!$C$6+(YEAR(B58)-YEAR(Assumptions!$C$4))*Assumptions!$C$7</f>
        <v>7000</v>
      </c>
      <c r="D58" s="36" t="n">
        <f aca="false">Assumptions!$D$23*(1+Assumptions!$F$23)^((B58-Assumptions!$C$4)/365)</f>
        <v>315.149913059213</v>
      </c>
      <c r="E58" s="37" t="n">
        <f aca="false">C58/D58</f>
        <v>22.2116513758479</v>
      </c>
      <c r="F58" s="37" t="n">
        <f aca="false">F57+E58</f>
        <v>1078.61410231913</v>
      </c>
      <c r="G58" s="35" t="n">
        <f aca="false">F58*D58</f>
        <v>339925.140570315</v>
      </c>
      <c r="H58" s="36" t="n">
        <f aca="false">Assumptions!$D$24*(1+Assumptions!$F$24)^((B58-Assumptions!$C$4)/365)</f>
        <v>267.937196074866</v>
      </c>
      <c r="I58" s="37" t="n">
        <f aca="false">C58/H58</f>
        <v>26.125525319165</v>
      </c>
      <c r="J58" s="37" t="n">
        <f aca="false">J57+I58</f>
        <v>1250.60018975571</v>
      </c>
      <c r="K58" s="35" t="n">
        <f aca="false">J58*H58</f>
        <v>335082.308253839</v>
      </c>
      <c r="L58" s="35" t="n">
        <f aca="false">L57+C58</f>
        <v>258000</v>
      </c>
    </row>
    <row r="59" customFormat="false" ht="15" hidden="false" customHeight="false" outlineLevel="0" collapsed="false">
      <c r="A59" s="38" t="n">
        <v>55</v>
      </c>
      <c r="B59" s="39" t="n">
        <f aca="false">EDATE(B58,1)</f>
        <v>47300</v>
      </c>
      <c r="C59" s="40" t="n">
        <f aca="false">Assumptions!$C$6+(YEAR(B59)-YEAR(Assumptions!$C$4))*Assumptions!$C$7</f>
        <v>7000</v>
      </c>
      <c r="D59" s="41" t="n">
        <f aca="false">Assumptions!$D$23*(1+Assumptions!$F$23)^((B59-Assumptions!$C$4)/365)</f>
        <v>318.791002349833</v>
      </c>
      <c r="E59" s="42" t="n">
        <f aca="false">C59/D59</f>
        <v>21.9579597554588</v>
      </c>
      <c r="F59" s="42" t="n">
        <f aca="false">F58+E59</f>
        <v>1100.57206207459</v>
      </c>
      <c r="G59" s="40" t="n">
        <f aca="false">F59*D59</f>
        <v>350852.470826982</v>
      </c>
      <c r="H59" s="41" t="n">
        <f aca="false">Assumptions!$D$24*(1+Assumptions!$F$24)^((B59-Assumptions!$C$4)/365)</f>
        <v>270.879296935833</v>
      </c>
      <c r="I59" s="42" t="n">
        <f aca="false">C59/H59</f>
        <v>25.8417681941127</v>
      </c>
      <c r="J59" s="42" t="n">
        <f aca="false">J58+I59</f>
        <v>1276.44195794982</v>
      </c>
      <c r="K59" s="40" t="n">
        <f aca="false">J59*H59</f>
        <v>345761.700148845</v>
      </c>
      <c r="L59" s="40" t="n">
        <f aca="false">L58+C59</f>
        <v>265000</v>
      </c>
    </row>
    <row r="60" customFormat="false" ht="15" hidden="false" customHeight="false" outlineLevel="0" collapsed="false">
      <c r="A60" s="38" t="n">
        <v>56</v>
      </c>
      <c r="B60" s="39" t="n">
        <f aca="false">EDATE(B59,1)</f>
        <v>47331</v>
      </c>
      <c r="C60" s="40" t="n">
        <f aca="false">Assumptions!$C$6+(YEAR(B60)-YEAR(Assumptions!$C$4))*Assumptions!$C$7</f>
        <v>7000</v>
      </c>
      <c r="D60" s="41" t="n">
        <f aca="false">Assumptions!$D$23*(1+Assumptions!$F$23)^((B60-Assumptions!$C$4)/365)</f>
        <v>322.59766106102</v>
      </c>
      <c r="E60" s="42" t="n">
        <f aca="false">C60/D60</f>
        <v>21.698855400802</v>
      </c>
      <c r="F60" s="42" t="n">
        <f aca="false">F59+E60</f>
        <v>1122.27091747539</v>
      </c>
      <c r="G60" s="40" t="n">
        <f aca="false">F60*D60</f>
        <v>362041.973054366</v>
      </c>
      <c r="H60" s="41" t="n">
        <f aca="false">Assumptions!$D$24*(1+Assumptions!$F$24)^((B60-Assumptions!$C$4)/365)</f>
        <v>273.95341111851</v>
      </c>
      <c r="I60" s="42" t="n">
        <f aca="false">C60/H60</f>
        <v>25.5517898879961</v>
      </c>
      <c r="J60" s="42" t="n">
        <f aca="false">J59+I60</f>
        <v>1301.99374783782</v>
      </c>
      <c r="K60" s="40" t="n">
        <f aca="false">J60*H60</f>
        <v>356685.628475143</v>
      </c>
      <c r="L60" s="40" t="n">
        <f aca="false">L59+C60</f>
        <v>272000</v>
      </c>
    </row>
    <row r="61" customFormat="false" ht="15" hidden="false" customHeight="false" outlineLevel="0" collapsed="false">
      <c r="A61" s="38" t="n">
        <v>57</v>
      </c>
      <c r="B61" s="39" t="n">
        <f aca="false">EDATE(B60,1)</f>
        <v>47362</v>
      </c>
      <c r="C61" s="40" t="n">
        <f aca="false">Assumptions!$C$6+(YEAR(B61)-YEAR(Assumptions!$C$4))*Assumptions!$C$7</f>
        <v>7000</v>
      </c>
      <c r="D61" s="41" t="n">
        <f aca="false">Assumptions!$D$23*(1+Assumptions!$F$23)^((B61-Assumptions!$C$4)/365)</f>
        <v>326.449774789558</v>
      </c>
      <c r="E61" s="42" t="n">
        <f aca="false">C61/D61</f>
        <v>21.4428084825988</v>
      </c>
      <c r="F61" s="42" t="n">
        <f aca="false">F60+E61</f>
        <v>1143.71372595799</v>
      </c>
      <c r="G61" s="40" t="n">
        <f aca="false">F61*D61</f>
        <v>373365.088262712</v>
      </c>
      <c r="H61" s="41" t="n">
        <f aca="false">Assumptions!$D$24*(1+Assumptions!$F$24)^((B61-Assumptions!$C$4)/365)</f>
        <v>277.0624123454</v>
      </c>
      <c r="I61" s="42" t="n">
        <f aca="false">C61/H61</f>
        <v>25.2650655162616</v>
      </c>
      <c r="J61" s="42" t="n">
        <f aca="false">J60+I61</f>
        <v>1327.25881335408</v>
      </c>
      <c r="K61" s="40" t="n">
        <f aca="false">J61*H61</f>
        <v>367733.528634573</v>
      </c>
      <c r="L61" s="40" t="n">
        <f aca="false">L60+C61</f>
        <v>279000</v>
      </c>
    </row>
    <row r="62" customFormat="false" ht="15" hidden="false" customHeight="false" outlineLevel="0" collapsed="false">
      <c r="A62" s="38" t="n">
        <v>58</v>
      </c>
      <c r="B62" s="39" t="n">
        <f aca="false">EDATE(B61,1)</f>
        <v>47392</v>
      </c>
      <c r="C62" s="40" t="n">
        <f aca="false">Assumptions!$C$6+(YEAR(B62)-YEAR(Assumptions!$C$4))*Assumptions!$C$7</f>
        <v>7000</v>
      </c>
      <c r="D62" s="41" t="n">
        <f aca="false">Assumptions!$D$23*(1+Assumptions!$F$23)^((B62-Assumptions!$C$4)/365)</f>
        <v>330.221417203714</v>
      </c>
      <c r="E62" s="42" t="n">
        <f aca="false">C62/D62</f>
        <v>21.1978982443822</v>
      </c>
      <c r="F62" s="42" t="n">
        <f aca="false">F61+E62</f>
        <v>1164.91162420237</v>
      </c>
      <c r="G62" s="40" t="n">
        <f aca="false">F62*D62</f>
        <v>384678.767461188</v>
      </c>
      <c r="H62" s="41" t="n">
        <f aca="false">Assumptions!$D$24*(1+Assumptions!$F$24)^((B62-Assumptions!$C$4)/365)</f>
        <v>280.104713204871</v>
      </c>
      <c r="I62" s="42" t="n">
        <f aca="false">C62/H62</f>
        <v>24.9906541018471</v>
      </c>
      <c r="J62" s="42" t="n">
        <f aca="false">J61+I62</f>
        <v>1352.24946745592</v>
      </c>
      <c r="K62" s="40" t="n">
        <f aca="false">J62*H62</f>
        <v>378771.449263181</v>
      </c>
      <c r="L62" s="40" t="n">
        <f aca="false">L61+C62</f>
        <v>286000</v>
      </c>
    </row>
    <row r="63" customFormat="false" ht="15" hidden="false" customHeight="false" outlineLevel="0" collapsed="false">
      <c r="A63" s="38" t="n">
        <v>59</v>
      </c>
      <c r="B63" s="39" t="n">
        <f aca="false">EDATE(B62,1)</f>
        <v>47423</v>
      </c>
      <c r="C63" s="40" t="n">
        <f aca="false">Assumptions!$C$6+(YEAR(B63)-YEAR(Assumptions!$C$4))*Assumptions!$C$7</f>
        <v>7000</v>
      </c>
      <c r="D63" s="41" t="n">
        <f aca="false">Assumptions!$D$23*(1+Assumptions!$F$23)^((B63-Assumptions!$C$4)/365)</f>
        <v>334.164565614909</v>
      </c>
      <c r="E63" s="42" t="n">
        <f aca="false">C63/D63</f>
        <v>20.9477626304245</v>
      </c>
      <c r="F63" s="42" t="n">
        <f aca="false">F62+E63</f>
        <v>1185.8593868328</v>
      </c>
      <c r="G63" s="40" t="n">
        <f aca="false">F63*D63</f>
        <v>396272.186881344</v>
      </c>
      <c r="H63" s="41" t="n">
        <f aca="false">Assumptions!$D$24*(1+Assumptions!$F$24)^((B63-Assumptions!$C$4)/365)</f>
        <v>283.283523402765</v>
      </c>
      <c r="I63" s="42" t="n">
        <f aca="false">C63/H63</f>
        <v>24.7102264046878</v>
      </c>
      <c r="J63" s="42" t="n">
        <f aca="false">J62+I63</f>
        <v>1376.95969386061</v>
      </c>
      <c r="K63" s="40" t="n">
        <f aca="false">J63*H63</f>
        <v>390069.993660427</v>
      </c>
      <c r="L63" s="40" t="n">
        <f aca="false">L62+C63</f>
        <v>293000</v>
      </c>
    </row>
    <row r="64" customFormat="false" ht="15" hidden="false" customHeight="false" outlineLevel="0" collapsed="false">
      <c r="A64" s="38" t="n">
        <v>60</v>
      </c>
      <c r="B64" s="39" t="n">
        <f aca="false">EDATE(B63,1)</f>
        <v>47453</v>
      </c>
      <c r="C64" s="40" t="n">
        <f aca="false">Assumptions!$C$6+(YEAR(B64)-YEAR(Assumptions!$C$4))*Assumptions!$C$7</f>
        <v>7000</v>
      </c>
      <c r="D64" s="41" t="n">
        <f aca="false">Assumptions!$D$23*(1+Assumptions!$F$23)^((B64-Assumptions!$C$4)/365)</f>
        <v>338.025340981636</v>
      </c>
      <c r="E64" s="42" t="n">
        <f aca="false">C64/D64</f>
        <v>20.7085065861387</v>
      </c>
      <c r="F64" s="42" t="n">
        <f aca="false">F63+E64</f>
        <v>1206.56789341894</v>
      </c>
      <c r="G64" s="40" t="n">
        <f aca="false">F64*D64</f>
        <v>407850.523590431</v>
      </c>
      <c r="H64" s="41" t="n">
        <f aca="false">Assumptions!$D$24*(1+Assumptions!$F$24)^((B64-Assumptions!$C$4)/365)</f>
        <v>286.394135554831</v>
      </c>
      <c r="I64" s="42" t="n">
        <f aca="false">C64/H64</f>
        <v>24.4418412634006</v>
      </c>
      <c r="J64" s="42" t="n">
        <f aca="false">J63+I64</f>
        <v>1401.40153512401</v>
      </c>
      <c r="K64" s="40" t="n">
        <f aca="false">J64*H64</f>
        <v>401353.181217054</v>
      </c>
      <c r="L64" s="40" t="n">
        <f aca="false">L63+C64</f>
        <v>300000</v>
      </c>
    </row>
    <row r="65" customFormat="false" ht="15" hidden="false" customHeight="false" outlineLevel="0" collapsed="false">
      <c r="A65" s="33" t="n">
        <v>61</v>
      </c>
      <c r="B65" s="34" t="n">
        <f aca="false">EDATE(B64,1)</f>
        <v>47484</v>
      </c>
      <c r="C65" s="35" t="n">
        <f aca="false">Assumptions!$C$6+(YEAR(B65)-YEAR(Assumptions!$C$4))*Assumptions!$C$7</f>
        <v>8000</v>
      </c>
      <c r="D65" s="36" t="n">
        <f aca="false">Assumptions!$D$23*(1+Assumptions!$F$23)^((B65-Assumptions!$C$4)/365)</f>
        <v>342.061675443289</v>
      </c>
      <c r="E65" s="37" t="n">
        <f aca="false">C65/D65</f>
        <v>23.3875952037963</v>
      </c>
      <c r="F65" s="37" t="n">
        <f aca="false">F64+E65</f>
        <v>1229.95548862273</v>
      </c>
      <c r="G65" s="35" t="n">
        <f aca="false">F65*D65</f>
        <v>420720.635158961</v>
      </c>
      <c r="H65" s="36" t="n">
        <f aca="false">Assumptions!$D$24*(1+Assumptions!$F$24)^((B65-Assumptions!$C$4)/365)</f>
        <v>289.644322202183</v>
      </c>
      <c r="I65" s="37" t="n">
        <f aca="false">C65/H65</f>
        <v>27.6200822414731</v>
      </c>
      <c r="J65" s="37" t="n">
        <f aca="false">J64+I65</f>
        <v>1429.02161736549</v>
      </c>
      <c r="K65" s="35" t="n">
        <f aca="false">J65*H65</f>
        <v>413907.997774093</v>
      </c>
      <c r="L65" s="35" t="n">
        <f aca="false">L64+C65</f>
        <v>308000</v>
      </c>
    </row>
    <row r="66" customFormat="false" ht="15" hidden="false" customHeight="false" outlineLevel="0" collapsed="false">
      <c r="A66" s="33" t="n">
        <v>62</v>
      </c>
      <c r="B66" s="34" t="n">
        <f aca="false">EDATE(B65,1)</f>
        <v>47515</v>
      </c>
      <c r="C66" s="35" t="n">
        <f aca="false">Assumptions!$C$6+(YEAR(B66)-YEAR(Assumptions!$C$4))*Assumptions!$C$7</f>
        <v>8000</v>
      </c>
      <c r="D66" s="36" t="n">
        <f aca="false">Assumptions!$D$23*(1+Assumptions!$F$23)^((B66-Assumptions!$C$4)/365)</f>
        <v>346.146207462672</v>
      </c>
      <c r="E66" s="37" t="n">
        <f aca="false">C66/D66</f>
        <v>23.1116211228826</v>
      </c>
      <c r="F66" s="37" t="n">
        <f aca="false">F65+E66</f>
        <v>1253.06710974562</v>
      </c>
      <c r="G66" s="35" t="n">
        <f aca="false">F66*D66</f>
        <v>433744.427734657</v>
      </c>
      <c r="H66" s="36" t="n">
        <f aca="false">Assumptions!$D$24*(1+Assumptions!$F$24)^((B66-Assumptions!$C$4)/365)</f>
        <v>292.931394078424</v>
      </c>
      <c r="I66" s="37" t="n">
        <f aca="false">C66/H66</f>
        <v>27.3101489349354</v>
      </c>
      <c r="J66" s="37" t="n">
        <f aca="false">J65+I66</f>
        <v>1456.33176630042</v>
      </c>
      <c r="K66" s="35" t="n">
        <f aca="false">J66*H66</f>
        <v>426605.294543076</v>
      </c>
      <c r="L66" s="35" t="n">
        <f aca="false">L65+C66</f>
        <v>316000</v>
      </c>
    </row>
    <row r="67" customFormat="false" ht="15" hidden="false" customHeight="false" outlineLevel="0" collapsed="false">
      <c r="A67" s="33" t="n">
        <v>63</v>
      </c>
      <c r="B67" s="34" t="n">
        <f aca="false">EDATE(B66,1)</f>
        <v>47543</v>
      </c>
      <c r="C67" s="35" t="n">
        <f aca="false">Assumptions!$C$6+(YEAR(B67)-YEAR(Assumptions!$C$4))*Assumptions!$C$7</f>
        <v>8000</v>
      </c>
      <c r="D67" s="36" t="n">
        <f aca="false">Assumptions!$D$23*(1+Assumptions!$F$23)^((B67-Assumptions!$C$4)/365)</f>
        <v>349.877367598255</v>
      </c>
      <c r="E67" s="37" t="n">
        <f aca="false">C67/D67</f>
        <v>22.8651543108269</v>
      </c>
      <c r="F67" s="37" t="n">
        <f aca="false">F66+E67</f>
        <v>1275.93226405644</v>
      </c>
      <c r="G67" s="35" t="n">
        <f aca="false">F67*D67</f>
        <v>446419.82178175</v>
      </c>
      <c r="H67" s="36" t="n">
        <f aca="false">Assumptions!$D$24*(1+Assumptions!$F$24)^((B67-Assumptions!$C$4)/365)</f>
        <v>295.932413957675</v>
      </c>
      <c r="I67" s="37" t="n">
        <f aca="false">C67/H67</f>
        <v>27.033199550571</v>
      </c>
      <c r="J67" s="37" t="n">
        <f aca="false">J66+I67</f>
        <v>1483.36496585099</v>
      </c>
      <c r="K67" s="35" t="n">
        <f aca="false">J67*H67</f>
        <v>438975.775124528</v>
      </c>
      <c r="L67" s="35" t="n">
        <f aca="false">L66+C67</f>
        <v>324000</v>
      </c>
    </row>
    <row r="68" customFormat="false" ht="15" hidden="false" customHeight="false" outlineLevel="0" collapsed="false">
      <c r="A68" s="33" t="n">
        <v>64</v>
      </c>
      <c r="B68" s="34" t="n">
        <f aca="false">EDATE(B67,1)</f>
        <v>47574</v>
      </c>
      <c r="C68" s="35" t="n">
        <f aca="false">Assumptions!$C$6+(YEAR(B68)-YEAR(Assumptions!$C$4))*Assumptions!$C$7</f>
        <v>8000</v>
      </c>
      <c r="D68" s="36" t="n">
        <f aca="false">Assumptions!$D$23*(1+Assumptions!$F$23)^((B68-Assumptions!$C$4)/365)</f>
        <v>354.055226193377</v>
      </c>
      <c r="E68" s="37" t="n">
        <f aca="false">C68/D68</f>
        <v>22.5953450426702</v>
      </c>
      <c r="F68" s="37" t="n">
        <f aca="false">F67+E68</f>
        <v>1298.52760909911</v>
      </c>
      <c r="G68" s="35" t="n">
        <f aca="false">F68*D68</f>
        <v>459750.486357931</v>
      </c>
      <c r="H68" s="36" t="n">
        <f aca="false">Assumptions!$D$24*(1+Assumptions!$F$24)^((B68-Assumptions!$C$4)/365)</f>
        <v>299.290847182924</v>
      </c>
      <c r="I68" s="37" t="n">
        <f aca="false">C68/H68</f>
        <v>26.7298518324233</v>
      </c>
      <c r="J68" s="37" t="n">
        <f aca="false">J67+I68</f>
        <v>1510.09481768342</v>
      </c>
      <c r="K68" s="35" t="n">
        <f aca="false">J68*H68</f>
        <v>451957.557311012</v>
      </c>
      <c r="L68" s="35" t="n">
        <f aca="false">L67+C68</f>
        <v>332000</v>
      </c>
    </row>
    <row r="69" customFormat="false" ht="15" hidden="false" customHeight="false" outlineLevel="0" collapsed="false">
      <c r="A69" s="33" t="n">
        <v>65</v>
      </c>
      <c r="B69" s="34" t="n">
        <f aca="false">EDATE(B68,1)</f>
        <v>47604</v>
      </c>
      <c r="C69" s="35" t="n">
        <f aca="false">Assumptions!$C$6+(YEAR(B69)-YEAR(Assumptions!$C$4))*Assumptions!$C$7</f>
        <v>8000</v>
      </c>
      <c r="D69" s="36" t="n">
        <f aca="false">Assumptions!$D$23*(1+Assumptions!$F$23)^((B69-Assumptions!$C$4)/365)</f>
        <v>358.145808608162</v>
      </c>
      <c r="E69" s="37" t="n">
        <f aca="false">C69/D69</f>
        <v>22.3372710435726</v>
      </c>
      <c r="F69" s="37" t="n">
        <f aca="false">F68+E69</f>
        <v>1320.86488014269</v>
      </c>
      <c r="G69" s="35" t="n">
        <f aca="false">F69*D69</f>
        <v>473062.220560825</v>
      </c>
      <c r="H69" s="36" t="n">
        <f aca="false">Assumptions!$D$24*(1+Assumptions!$F$24)^((B69-Assumptions!$C$4)/365)</f>
        <v>302.577228738287</v>
      </c>
      <c r="I69" s="37" t="n">
        <f aca="false">C69/H69</f>
        <v>26.4395309368094</v>
      </c>
      <c r="J69" s="37" t="n">
        <f aca="false">J68+I69</f>
        <v>1536.53434862022</v>
      </c>
      <c r="K69" s="35" t="n">
        <f aca="false">J69*H69</f>
        <v>464920.305066697</v>
      </c>
      <c r="L69" s="35" t="n">
        <f aca="false">L68+C69</f>
        <v>340000</v>
      </c>
    </row>
    <row r="70" customFormat="false" ht="15" hidden="false" customHeight="false" outlineLevel="0" collapsed="false">
      <c r="A70" s="33" t="n">
        <v>66</v>
      </c>
      <c r="B70" s="34" t="n">
        <f aca="false">EDATE(B69,1)</f>
        <v>47635</v>
      </c>
      <c r="C70" s="35" t="n">
        <f aca="false">Assumptions!$C$6+(YEAR(B70)-YEAR(Assumptions!$C$4))*Assumptions!$C$7</f>
        <v>8000</v>
      </c>
      <c r="D70" s="36" t="n">
        <f aca="false">Assumptions!$D$23*(1+Assumptions!$F$23)^((B70-Assumptions!$C$4)/365)</f>
        <v>362.422400018094</v>
      </c>
      <c r="E70" s="37" t="n">
        <f aca="false">C70/D70</f>
        <v>22.073690808296</v>
      </c>
      <c r="F70" s="37" t="n">
        <f aca="false">F69+E70</f>
        <v>1342.93857095098</v>
      </c>
      <c r="G70" s="35" t="n">
        <f aca="false">F70*D70</f>
        <v>486711.019960925</v>
      </c>
      <c r="H70" s="36" t="n">
        <f aca="false">Assumptions!$D$24*(1+Assumptions!$F$24)^((B70-Assumptions!$C$4)/365)</f>
        <v>306.011071637104</v>
      </c>
      <c r="I70" s="37" t="n">
        <f aca="false">C70/H70</f>
        <v>26.142844953947</v>
      </c>
      <c r="J70" s="37" t="n">
        <f aca="false">J69+I70</f>
        <v>1562.67719357417</v>
      </c>
      <c r="K70" s="35" t="n">
        <f aca="false">J70*H70</f>
        <v>478196.522628495</v>
      </c>
      <c r="L70" s="35" t="n">
        <f aca="false">L69+C70</f>
        <v>348000</v>
      </c>
    </row>
    <row r="71" customFormat="false" ht="15" hidden="false" customHeight="false" outlineLevel="0" collapsed="false">
      <c r="A71" s="38" t="n">
        <v>67</v>
      </c>
      <c r="B71" s="39" t="n">
        <f aca="false">EDATE(B70,1)</f>
        <v>47665</v>
      </c>
      <c r="C71" s="40" t="n">
        <f aca="false">Assumptions!$C$6+(YEAR(B71)-YEAR(Assumptions!$C$4))*Assumptions!$C$7</f>
        <v>8000</v>
      </c>
      <c r="D71" s="41" t="n">
        <f aca="false">Assumptions!$D$23*(1+Assumptions!$F$23)^((B71-Assumptions!$C$4)/365)</f>
        <v>366.609652702308</v>
      </c>
      <c r="E71" s="42" t="n">
        <f aca="false">C71/D71</f>
        <v>21.8215749122572</v>
      </c>
      <c r="F71" s="42" t="n">
        <f aca="false">F70+E71</f>
        <v>1364.76014586324</v>
      </c>
      <c r="G71" s="40" t="n">
        <f aca="false">F71*D71</f>
        <v>500334.243096874</v>
      </c>
      <c r="H71" s="41" t="n">
        <f aca="false">Assumptions!$D$24*(1+Assumptions!$F$24)^((B71-Assumptions!$C$4)/365)</f>
        <v>309.371245030415</v>
      </c>
      <c r="I71" s="42" t="n">
        <f aca="false">C71/H71</f>
        <v>25.858899715174</v>
      </c>
      <c r="J71" s="42" t="n">
        <f aca="false">J70+I71</f>
        <v>1588.53609328935</v>
      </c>
      <c r="K71" s="40" t="n">
        <f aca="false">J71*H71</f>
        <v>491447.388956676</v>
      </c>
      <c r="L71" s="40" t="n">
        <f aca="false">L70+C71</f>
        <v>356000</v>
      </c>
    </row>
    <row r="72" customFormat="false" ht="15" hidden="false" customHeight="false" outlineLevel="0" collapsed="false">
      <c r="A72" s="38" t="n">
        <v>68</v>
      </c>
      <c r="B72" s="39" t="n">
        <f aca="false">EDATE(B71,1)</f>
        <v>47696</v>
      </c>
      <c r="C72" s="40" t="n">
        <f aca="false">Assumptions!$C$6+(YEAR(B72)-YEAR(Assumptions!$C$4))*Assumptions!$C$7</f>
        <v>8000</v>
      </c>
      <c r="D72" s="41" t="n">
        <f aca="false">Assumptions!$D$23*(1+Assumptions!$F$23)^((B72-Assumptions!$C$4)/365)</f>
        <v>370.987310220173</v>
      </c>
      <c r="E72" s="42" t="n">
        <f aca="false">C72/D72</f>
        <v>21.5640799014181</v>
      </c>
      <c r="F72" s="42" t="n">
        <f aca="false">F71+E72</f>
        <v>1386.32422576466</v>
      </c>
      <c r="G72" s="40" t="n">
        <f aca="false">F72*D72</f>
        <v>514308.695609493</v>
      </c>
      <c r="H72" s="41" t="n">
        <f aca="false">Assumptions!$D$24*(1+Assumptions!$F$24)^((B72-Assumptions!$C$4)/365)</f>
        <v>312.882190838451</v>
      </c>
      <c r="I72" s="42" t="n">
        <f aca="false">C72/H72</f>
        <v>25.568729171072</v>
      </c>
      <c r="J72" s="42" t="n">
        <f aca="false">J71+I72</f>
        <v>1614.10482246042</v>
      </c>
      <c r="K72" s="40" t="n">
        <f aca="false">J72*H72</f>
        <v>505024.653094324</v>
      </c>
      <c r="L72" s="40" t="n">
        <f aca="false">L71+C72</f>
        <v>364000</v>
      </c>
    </row>
    <row r="73" customFormat="false" ht="15" hidden="false" customHeight="false" outlineLevel="0" collapsed="false">
      <c r="A73" s="38" t="n">
        <v>69</v>
      </c>
      <c r="B73" s="39" t="n">
        <f aca="false">EDATE(B72,1)</f>
        <v>47727</v>
      </c>
      <c r="C73" s="40" t="n">
        <f aca="false">Assumptions!$C$6+(YEAR(B73)-YEAR(Assumptions!$C$4))*Assumptions!$C$7</f>
        <v>8000</v>
      </c>
      <c r="D73" s="41" t="n">
        <f aca="false">Assumptions!$D$23*(1+Assumptions!$F$23)^((B73-Assumptions!$C$4)/365)</f>
        <v>375.417241007992</v>
      </c>
      <c r="E73" s="42" t="n">
        <f aca="false">C73/D73</f>
        <v>21.3096233367442</v>
      </c>
      <c r="F73" s="42" t="n">
        <f aca="false">F72+E73</f>
        <v>1407.6338491014</v>
      </c>
      <c r="G73" s="40" t="n">
        <f aca="false">F73*D73</f>
        <v>528450.015979107</v>
      </c>
      <c r="H73" s="41" t="n">
        <f aca="false">Assumptions!$D$24*(1+Assumptions!$F$24)^((B73-Assumptions!$C$4)/365)</f>
        <v>316.432981139681</v>
      </c>
      <c r="I73" s="42" t="n">
        <f aca="false">C73/H73</f>
        <v>25.2818147185126</v>
      </c>
      <c r="J73" s="42" t="n">
        <f aca="false">J72+I73</f>
        <v>1639.38663717893</v>
      </c>
      <c r="K73" s="40" t="n">
        <f aca="false">J73*H73</f>
        <v>518756.000843085</v>
      </c>
      <c r="L73" s="40" t="n">
        <f aca="false">L72+C73</f>
        <v>372000</v>
      </c>
    </row>
    <row r="74" customFormat="false" ht="15" hidden="false" customHeight="false" outlineLevel="0" collapsed="false">
      <c r="A74" s="38" t="n">
        <v>70</v>
      </c>
      <c r="B74" s="39" t="n">
        <f aca="false">EDATE(B73,1)</f>
        <v>47757</v>
      </c>
      <c r="C74" s="40" t="n">
        <f aca="false">Assumptions!$C$6+(YEAR(B74)-YEAR(Assumptions!$C$4))*Assumptions!$C$7</f>
        <v>8000</v>
      </c>
      <c r="D74" s="41" t="n">
        <f aca="false">Assumptions!$D$23*(1+Assumptions!$F$23)^((B74-Assumptions!$C$4)/365)</f>
        <v>379.754629784271</v>
      </c>
      <c r="E74" s="42" t="n">
        <f aca="false">C74/D74</f>
        <v>21.0662342801313</v>
      </c>
      <c r="F74" s="42" t="n">
        <f aca="false">F73+E74</f>
        <v>1428.70008338153</v>
      </c>
      <c r="G74" s="40" t="n">
        <f aca="false">F74*D74</f>
        <v>542555.471237311</v>
      </c>
      <c r="H74" s="41" t="n">
        <f aca="false">Assumptions!$D$24*(1+Assumptions!$F$24)^((B74-Assumptions!$C$4)/365)</f>
        <v>319.907592951283</v>
      </c>
      <c r="I74" s="42" t="n">
        <f aca="false">C74/H74</f>
        <v>25.0072213860153</v>
      </c>
      <c r="J74" s="42" t="n">
        <f aca="false">J73+I74</f>
        <v>1664.39385856495</v>
      </c>
      <c r="K74" s="40" t="n">
        <f aca="false">J74*H74</f>
        <v>532452.23301641</v>
      </c>
      <c r="L74" s="40" t="n">
        <f aca="false">L73+C74</f>
        <v>380000</v>
      </c>
    </row>
    <row r="75" customFormat="false" ht="15" hidden="false" customHeight="false" outlineLevel="0" collapsed="false">
      <c r="A75" s="38" t="n">
        <v>71</v>
      </c>
      <c r="B75" s="39" t="n">
        <f aca="false">EDATE(B74,1)</f>
        <v>47788</v>
      </c>
      <c r="C75" s="40" t="n">
        <f aca="false">Assumptions!$C$6+(YEAR(B75)-YEAR(Assumptions!$C$4))*Assumptions!$C$7</f>
        <v>8000</v>
      </c>
      <c r="D75" s="41" t="n">
        <f aca="false">Assumptions!$D$23*(1+Assumptions!$F$23)^((B75-Assumptions!$C$4)/365)</f>
        <v>384.289250457145</v>
      </c>
      <c r="E75" s="42" t="n">
        <f aca="false">C75/D75</f>
        <v>20.8176523035274</v>
      </c>
      <c r="F75" s="42" t="n">
        <f aca="false">F74+E75</f>
        <v>1449.51773568506</v>
      </c>
      <c r="G75" s="40" t="n">
        <f aca="false">F75*D75</f>
        <v>557034.084170749</v>
      </c>
      <c r="H75" s="41" t="n">
        <f aca="false">Assumptions!$D$24*(1+Assumptions!$F$24)^((B75-Assumptions!$C$4)/365)</f>
        <v>323.538112078298</v>
      </c>
      <c r="I75" s="42" t="n">
        <f aca="false">C75/H75</f>
        <v>24.7266077823436</v>
      </c>
      <c r="J75" s="42" t="n">
        <f aca="false">J74+I75</f>
        <v>1689.12046634729</v>
      </c>
      <c r="K75" s="40" t="n">
        <f aca="false">J75*H75</f>
        <v>546494.846754816</v>
      </c>
      <c r="L75" s="40" t="n">
        <f aca="false">L74+C75</f>
        <v>388000</v>
      </c>
    </row>
    <row r="76" customFormat="false" ht="15" hidden="false" customHeight="false" outlineLevel="0" collapsed="false">
      <c r="A76" s="38" t="n">
        <v>72</v>
      </c>
      <c r="B76" s="39" t="n">
        <f aca="false">EDATE(B75,1)</f>
        <v>47818</v>
      </c>
      <c r="C76" s="40" t="n">
        <f aca="false">Assumptions!$C$6+(YEAR(B76)-YEAR(Assumptions!$C$4))*Assumptions!$C$7</f>
        <v>8000</v>
      </c>
      <c r="D76" s="41" t="n">
        <f aca="false">Assumptions!$D$23*(1+Assumptions!$F$23)^((B76-Assumptions!$C$4)/365)</f>
        <v>388.729142128882</v>
      </c>
      <c r="E76" s="42" t="n">
        <f aca="false">C76/D76</f>
        <v>20.5798823216285</v>
      </c>
      <c r="F76" s="42" t="n">
        <f aca="false">F75+E76</f>
        <v>1470.09761800669</v>
      </c>
      <c r="G76" s="40" t="n">
        <f aca="false">F76*D76</f>
        <v>571469.785893452</v>
      </c>
      <c r="H76" s="41" t="n">
        <f aca="false">Assumptions!$D$24*(1+Assumptions!$F$24)^((B76-Assumptions!$C$4)/365)</f>
        <v>327.090742217172</v>
      </c>
      <c r="I76" s="42" t="n">
        <f aca="false">C76/H76</f>
        <v>24.4580447180263</v>
      </c>
      <c r="J76" s="42" t="n">
        <f aca="false">J75+I76</f>
        <v>1713.57851106532</v>
      </c>
      <c r="K76" s="40" t="n">
        <f aca="false">J76*H76</f>
        <v>560495.667031751</v>
      </c>
      <c r="L76" s="40" t="n">
        <f aca="false">L75+C76</f>
        <v>396000</v>
      </c>
    </row>
    <row r="77" customFormat="false" ht="15" hidden="false" customHeight="false" outlineLevel="0" collapsed="false">
      <c r="A77" s="33" t="n">
        <v>73</v>
      </c>
      <c r="B77" s="34" t="n">
        <f aca="false">EDATE(B76,1)</f>
        <v>47849</v>
      </c>
      <c r="C77" s="35" t="n">
        <f aca="false">Assumptions!$C$6+(YEAR(B77)-YEAR(Assumptions!$C$4))*Assumptions!$C$7</f>
        <v>9000</v>
      </c>
      <c r="D77" s="36" t="n">
        <f aca="false">Assumptions!$D$23*(1+Assumptions!$F$23)^((B77-Assumptions!$C$4)/365)</f>
        <v>393.370926759782</v>
      </c>
      <c r="E77" s="37" t="n">
        <f aca="false">C77/D77</f>
        <v>22.8791692211051</v>
      </c>
      <c r="F77" s="37" t="n">
        <f aca="false">F76+E77</f>
        <v>1492.97678722779</v>
      </c>
      <c r="G77" s="35" t="n">
        <f aca="false">F77*D77</f>
        <v>587293.662422639</v>
      </c>
      <c r="H77" s="36" t="n">
        <f aca="false">Assumptions!$D$24*(1+Assumptions!$F$24)^((B77-Assumptions!$C$4)/365)</f>
        <v>330.802780387113</v>
      </c>
      <c r="I77" s="37" t="n">
        <f aca="false">C77/H77</f>
        <v>27.2065427910491</v>
      </c>
      <c r="J77" s="37" t="n">
        <f aca="false">J76+I77</f>
        <v>1740.78505385636</v>
      </c>
      <c r="K77" s="35" t="n">
        <f aca="false">J77*H77</f>
        <v>575856.535872015</v>
      </c>
      <c r="L77" s="35" t="n">
        <f aca="false">L76+C77</f>
        <v>405000</v>
      </c>
    </row>
    <row r="78" customFormat="false" ht="15" hidden="false" customHeight="false" outlineLevel="0" collapsed="false">
      <c r="A78" s="33" t="n">
        <v>74</v>
      </c>
      <c r="B78" s="34" t="n">
        <f aca="false">EDATE(B77,1)</f>
        <v>47880</v>
      </c>
      <c r="C78" s="35" t="n">
        <f aca="false">Assumptions!$C$6+(YEAR(B78)-YEAR(Assumptions!$C$4))*Assumptions!$C$7</f>
        <v>9000</v>
      </c>
      <c r="D78" s="36" t="n">
        <f aca="false">Assumptions!$D$23*(1+Assumptions!$F$23)^((B78-Assumptions!$C$4)/365)</f>
        <v>398.068138582073</v>
      </c>
      <c r="E78" s="37" t="n">
        <f aca="false">C78/D78</f>
        <v>22.609194576733</v>
      </c>
      <c r="F78" s="37" t="n">
        <f aca="false">F77+E78</f>
        <v>1515.58598180453</v>
      </c>
      <c r="G78" s="35" t="n">
        <f aca="false">F78*D78</f>
        <v>603306.490638011</v>
      </c>
      <c r="H78" s="36" t="n">
        <f aca="false">Assumptions!$D$24*(1+Assumptions!$F$24)^((B78-Assumptions!$C$4)/365)</f>
        <v>334.556945176968</v>
      </c>
      <c r="I78" s="37" t="n">
        <f aca="false">C78/H78</f>
        <v>26.9012499359095</v>
      </c>
      <c r="J78" s="37" t="n">
        <f aca="false">J77+I78</f>
        <v>1767.68630379227</v>
      </c>
      <c r="K78" s="35" t="n">
        <f aca="false">J78*H78</f>
        <v>591391.729827909</v>
      </c>
      <c r="L78" s="35" t="n">
        <f aca="false">L77+C78</f>
        <v>414000</v>
      </c>
    </row>
    <row r="79" customFormat="false" ht="15" hidden="false" customHeight="false" outlineLevel="0" collapsed="false">
      <c r="A79" s="33" t="n">
        <v>75</v>
      </c>
      <c r="B79" s="34" t="n">
        <f aca="false">EDATE(B78,1)</f>
        <v>47908</v>
      </c>
      <c r="C79" s="35" t="n">
        <f aca="false">Assumptions!$C$6+(YEAR(B79)-YEAR(Assumptions!$C$4))*Assumptions!$C$7</f>
        <v>9000</v>
      </c>
      <c r="D79" s="36" t="n">
        <f aca="false">Assumptions!$D$23*(1+Assumptions!$F$23)^((B79-Assumptions!$C$4)/365)</f>
        <v>402.358972737993</v>
      </c>
      <c r="E79" s="37" t="n">
        <f aca="false">C79/D79</f>
        <v>22.3680857388524</v>
      </c>
      <c r="F79" s="37" t="n">
        <f aca="false">F78+E79</f>
        <v>1537.95406754338</v>
      </c>
      <c r="G79" s="35" t="n">
        <f aca="false">F79*D79</f>
        <v>618809.618734972</v>
      </c>
      <c r="H79" s="36" t="n">
        <f aca="false">Assumptions!$D$24*(1+Assumptions!$F$24)^((B79-Assumptions!$C$4)/365)</f>
        <v>337.98440998106</v>
      </c>
      <c r="I79" s="37" t="n">
        <f aca="false">C79/H79</f>
        <v>26.6284471538327</v>
      </c>
      <c r="J79" s="37" t="n">
        <f aca="false">J78+I79</f>
        <v>1794.31475094611</v>
      </c>
      <c r="K79" s="35" t="n">
        <f aca="false">J79*H79</f>
        <v>606450.412418833</v>
      </c>
      <c r="L79" s="35" t="n">
        <f aca="false">L78+C79</f>
        <v>423000</v>
      </c>
    </row>
    <row r="80" customFormat="false" ht="15" hidden="false" customHeight="false" outlineLevel="0" collapsed="false">
      <c r="A80" s="33" t="n">
        <v>76</v>
      </c>
      <c r="B80" s="34" t="n">
        <f aca="false">EDATE(B79,1)</f>
        <v>47939</v>
      </c>
      <c r="C80" s="35" t="n">
        <f aca="false">Assumptions!$C$6+(YEAR(B80)-YEAR(Assumptions!$C$4))*Assumptions!$C$7</f>
        <v>9000</v>
      </c>
      <c r="D80" s="36" t="n">
        <f aca="false">Assumptions!$D$23*(1+Assumptions!$F$23)^((B80-Assumptions!$C$4)/365)</f>
        <v>407.163510122383</v>
      </c>
      <c r="E80" s="37" t="n">
        <f aca="false">C80/D80</f>
        <v>22.1041418895687</v>
      </c>
      <c r="F80" s="37" t="n">
        <f aca="false">F79+E80</f>
        <v>1560.05820943295</v>
      </c>
      <c r="G80" s="35" t="n">
        <f aca="false">F80*D80</f>
        <v>635198.776547959</v>
      </c>
      <c r="H80" s="36" t="n">
        <f aca="false">Assumptions!$D$24*(1+Assumptions!$F$24)^((B80-Assumptions!$C$4)/365)</f>
        <v>341.820076567617</v>
      </c>
      <c r="I80" s="37" t="n">
        <f aca="false">C80/H80</f>
        <v>26.329641284893</v>
      </c>
      <c r="J80" s="37" t="n">
        <f aca="false">J79+I80</f>
        <v>1820.644392231</v>
      </c>
      <c r="K80" s="35" t="n">
        <f aca="false">J80*H80</f>
        <v>622332.805554803</v>
      </c>
      <c r="L80" s="35" t="n">
        <f aca="false">L79+C80</f>
        <v>432000</v>
      </c>
    </row>
    <row r="81" customFormat="false" ht="15" hidden="false" customHeight="false" outlineLevel="0" collapsed="false">
      <c r="A81" s="33" t="n">
        <v>77</v>
      </c>
      <c r="B81" s="34" t="n">
        <f aca="false">EDATE(B80,1)</f>
        <v>47969</v>
      </c>
      <c r="C81" s="35" t="n">
        <f aca="false">Assumptions!$C$6+(YEAR(B81)-YEAR(Assumptions!$C$4))*Assumptions!$C$7</f>
        <v>9000</v>
      </c>
      <c r="D81" s="36" t="n">
        <f aca="false">Assumptions!$D$23*(1+Assumptions!$F$23)^((B81-Assumptions!$C$4)/365)</f>
        <v>411.867679899386</v>
      </c>
      <c r="E81" s="37" t="n">
        <f aca="false">C81/D81</f>
        <v>21.8516781947993</v>
      </c>
      <c r="F81" s="37" t="n">
        <f aca="false">F80+E81</f>
        <v>1581.90988762775</v>
      </c>
      <c r="G81" s="35" t="n">
        <f aca="false">F81*D81</f>
        <v>651537.555227138</v>
      </c>
      <c r="H81" s="36" t="n">
        <f aca="false">Assumptions!$D$24*(1+Assumptions!$F$24)^((B81-Assumptions!$C$4)/365)</f>
        <v>345.573452941998</v>
      </c>
      <c r="I81" s="37" t="n">
        <f aca="false">C81/H81</f>
        <v>26.0436671954387</v>
      </c>
      <c r="J81" s="37" t="n">
        <f aca="false">J80+I81</f>
        <v>1846.68805942644</v>
      </c>
      <c r="K81" s="35" t="n">
        <f aca="false">J81*H81</f>
        <v>638166.369202752</v>
      </c>
      <c r="L81" s="35" t="n">
        <f aca="false">L80+C81</f>
        <v>441000</v>
      </c>
    </row>
    <row r="82" customFormat="false" ht="15" hidden="false" customHeight="false" outlineLevel="0" collapsed="false">
      <c r="A82" s="33" t="n">
        <v>78</v>
      </c>
      <c r="B82" s="34" t="n">
        <f aca="false">EDATE(B81,1)</f>
        <v>48000</v>
      </c>
      <c r="C82" s="35" t="n">
        <f aca="false">Assumptions!$C$6+(YEAR(B82)-YEAR(Assumptions!$C$4))*Assumptions!$C$7</f>
        <v>9000</v>
      </c>
      <c r="D82" s="36" t="n">
        <f aca="false">Assumptions!$D$23*(1+Assumptions!$F$23)^((B82-Assumptions!$C$4)/365)</f>
        <v>416.785760020809</v>
      </c>
      <c r="E82" s="37" t="n">
        <f aca="false">C82/D82</f>
        <v>21.5938279646374</v>
      </c>
      <c r="F82" s="37" t="n">
        <f aca="false">F81+E82</f>
        <v>1603.50371559238</v>
      </c>
      <c r="G82" s="35" t="n">
        <f aca="false">F82*D82</f>
        <v>668317.514799362</v>
      </c>
      <c r="H82" s="36" t="n">
        <f aca="false">Assumptions!$D$24*(1+Assumptions!$F$24)^((B82-Assumptions!$C$4)/365)</f>
        <v>349.495244916737</v>
      </c>
      <c r="I82" s="37" t="n">
        <f aca="false">C82/H82</f>
        <v>25.7514233194908</v>
      </c>
      <c r="J82" s="37" t="n">
        <f aca="false">J81+I82</f>
        <v>1872.43948274593</v>
      </c>
      <c r="K82" s="35" t="n">
        <f aca="false">J82*H82</f>
        <v>654408.695614057</v>
      </c>
      <c r="L82" s="35" t="n">
        <f aca="false">L81+C82</f>
        <v>450000</v>
      </c>
    </row>
    <row r="83" customFormat="false" ht="15" hidden="false" customHeight="false" outlineLevel="0" collapsed="false">
      <c r="A83" s="38" t="n">
        <v>79</v>
      </c>
      <c r="B83" s="39" t="n">
        <f aca="false">EDATE(B82,1)</f>
        <v>48030</v>
      </c>
      <c r="C83" s="40" t="n">
        <f aca="false">Assumptions!$C$6+(YEAR(B83)-YEAR(Assumptions!$C$4))*Assumptions!$C$7</f>
        <v>9000</v>
      </c>
      <c r="D83" s="41" t="n">
        <f aca="false">Assumptions!$D$23*(1+Assumptions!$F$23)^((B83-Assumptions!$C$4)/365)</f>
        <v>421.601100607655</v>
      </c>
      <c r="E83" s="42" t="n">
        <f aca="false">C83/D83</f>
        <v>21.3471928489472</v>
      </c>
      <c r="F83" s="42" t="n">
        <f aca="false">F82+E83</f>
        <v>1624.85090844133</v>
      </c>
      <c r="G83" s="40" t="n">
        <f aca="false">F83*D83</f>
        <v>685038.931322213</v>
      </c>
      <c r="H83" s="41" t="n">
        <f aca="false">Assumptions!$D$24*(1+Assumptions!$F$24)^((B83-Assumptions!$C$4)/365)</f>
        <v>353.332898949236</v>
      </c>
      <c r="I83" s="42" t="n">
        <f aca="false">C83/H83</f>
        <v>25.4717294278703</v>
      </c>
      <c r="J83" s="42" t="n">
        <f aca="false">J82+I83</f>
        <v>1897.9112121738</v>
      </c>
      <c r="K83" s="40" t="n">
        <f aca="false">J83*H83</f>
        <v>670594.470545628</v>
      </c>
      <c r="L83" s="40" t="n">
        <f aca="false">L82+C83</f>
        <v>459000</v>
      </c>
    </row>
    <row r="84" customFormat="false" ht="15" hidden="false" customHeight="false" outlineLevel="0" collapsed="false">
      <c r="A84" s="38" t="n">
        <v>80</v>
      </c>
      <c r="B84" s="39" t="n">
        <f aca="false">EDATE(B83,1)</f>
        <v>48061</v>
      </c>
      <c r="C84" s="40" t="n">
        <f aca="false">Assumptions!$C$6+(YEAR(B84)-YEAR(Assumptions!$C$4))*Assumptions!$C$7</f>
        <v>9000</v>
      </c>
      <c r="D84" s="41" t="n">
        <f aca="false">Assumptions!$D$23*(1+Assumptions!$F$23)^((B84-Assumptions!$C$4)/365)</f>
        <v>426.635406753198</v>
      </c>
      <c r="E84" s="42" t="n">
        <f aca="false">C84/D84</f>
        <v>21.0952955557351</v>
      </c>
      <c r="F84" s="42" t="n">
        <f aca="false">F83+E84</f>
        <v>1645.94620399707</v>
      </c>
      <c r="G84" s="40" t="n">
        <f aca="false">F84*D84</f>
        <v>702218.928236171</v>
      </c>
      <c r="H84" s="41" t="n">
        <f aca="false">Assumptions!$D$24*(1+Assumptions!$F$24)^((B84-Assumptions!$C$4)/365)</f>
        <v>357.342750156595</v>
      </c>
      <c r="I84" s="42" t="n">
        <f aca="false">C84/H84</f>
        <v>25.1859034388022</v>
      </c>
      <c r="J84" s="42" t="n">
        <f aca="false">J83+I84</f>
        <v>1923.0971156126</v>
      </c>
      <c r="K84" s="40" t="n">
        <f aca="false">J84*H84</f>
        <v>687204.812111222</v>
      </c>
      <c r="L84" s="40" t="n">
        <f aca="false">L83+C84</f>
        <v>468000</v>
      </c>
    </row>
    <row r="85" customFormat="false" ht="15" hidden="false" customHeight="false" outlineLevel="0" collapsed="false">
      <c r="A85" s="38" t="n">
        <v>81</v>
      </c>
      <c r="B85" s="39" t="n">
        <f aca="false">EDATE(B84,1)</f>
        <v>48092</v>
      </c>
      <c r="C85" s="40" t="n">
        <f aca="false">Assumptions!$C$6+(YEAR(B85)-YEAR(Assumptions!$C$4))*Assumptions!$C$7</f>
        <v>9000</v>
      </c>
      <c r="D85" s="41" t="n">
        <f aca="false">Assumptions!$D$23*(1+Assumptions!$F$23)^((B85-Assumptions!$C$4)/365)</f>
        <v>431.72982715919</v>
      </c>
      <c r="E85" s="42" t="n">
        <f aca="false">C85/D85</f>
        <v>20.8463706555106</v>
      </c>
      <c r="F85" s="42" t="n">
        <f aca="false">F84+E85</f>
        <v>1666.79257465258</v>
      </c>
      <c r="G85" s="40" t="n">
        <f aca="false">F85*D85</f>
        <v>719604.070164979</v>
      </c>
      <c r="H85" s="41" t="n">
        <f aca="false">Assumptions!$D$24*(1+Assumptions!$F$24)^((B85-Assumptions!$C$4)/365)</f>
        <v>361.39810775963</v>
      </c>
      <c r="I85" s="42" t="n">
        <f aca="false">C85/H85</f>
        <v>24.903284789709</v>
      </c>
      <c r="J85" s="42" t="n">
        <f aca="false">J84+I85</f>
        <v>1948.00040040231</v>
      </c>
      <c r="K85" s="40" t="n">
        <f aca="false">J85*H85</f>
        <v>704003.658620396</v>
      </c>
      <c r="L85" s="40" t="n">
        <f aca="false">L84+C85</f>
        <v>477000</v>
      </c>
    </row>
    <row r="86" customFormat="false" ht="15" hidden="false" customHeight="false" outlineLevel="0" collapsed="false">
      <c r="A86" s="38" t="n">
        <v>82</v>
      </c>
      <c r="B86" s="39" t="n">
        <f aca="false">EDATE(B85,1)</f>
        <v>48122</v>
      </c>
      <c r="C86" s="40" t="n">
        <f aca="false">Assumptions!$C$6+(YEAR(B86)-YEAR(Assumptions!$C$4))*Assumptions!$C$7</f>
        <v>9000</v>
      </c>
      <c r="D86" s="41" t="n">
        <f aca="false">Assumptions!$D$23*(1+Assumptions!$F$23)^((B86-Assumptions!$C$4)/365)</f>
        <v>436.717824251912</v>
      </c>
      <c r="E86" s="42" t="n">
        <f aca="false">C86/D86</f>
        <v>20.6082726653459</v>
      </c>
      <c r="F86" s="42" t="n">
        <f aca="false">F85+E86</f>
        <v>1687.40084731792</v>
      </c>
      <c r="G86" s="40" t="n">
        <f aca="false">F86*D86</f>
        <v>736918.026681516</v>
      </c>
      <c r="H86" s="41" t="n">
        <f aca="false">Assumptions!$D$24*(1+Assumptions!$F$24)^((B86-Assumptions!$C$4)/365)</f>
        <v>365.366461909661</v>
      </c>
      <c r="I86" s="42" t="n">
        <f aca="false">C86/H86</f>
        <v>24.632802783703</v>
      </c>
      <c r="J86" s="42" t="n">
        <f aca="false">J85+I86</f>
        <v>1972.63320318601</v>
      </c>
      <c r="K86" s="40" t="n">
        <f aca="false">J86*H86</f>
        <v>720734.014093594</v>
      </c>
      <c r="L86" s="40" t="n">
        <f aca="false">L85+C86</f>
        <v>486000</v>
      </c>
    </row>
    <row r="87" customFormat="false" ht="15" hidden="false" customHeight="false" outlineLevel="0" collapsed="false">
      <c r="A87" s="38" t="n">
        <v>83</v>
      </c>
      <c r="B87" s="39" t="n">
        <f aca="false">EDATE(B86,1)</f>
        <v>48153</v>
      </c>
      <c r="C87" s="40" t="n">
        <f aca="false">Assumptions!$C$6+(YEAR(B87)-YEAR(Assumptions!$C$4))*Assumptions!$C$7</f>
        <v>9000</v>
      </c>
      <c r="D87" s="41" t="n">
        <f aca="false">Assumptions!$D$23*(1+Assumptions!$F$23)^((B87-Assumptions!$C$4)/365)</f>
        <v>441.932638025716</v>
      </c>
      <c r="E87" s="42" t="n">
        <f aca="false">C87/D87</f>
        <v>20.3650946447551</v>
      </c>
      <c r="F87" s="42" t="n">
        <f aca="false">F86+E87</f>
        <v>1707.76594196268</v>
      </c>
      <c r="G87" s="40" t="n">
        <f aca="false">F87*D87</f>
        <v>754717.507862039</v>
      </c>
      <c r="H87" s="41" t="n">
        <f aca="false">Assumptions!$D$24*(1+Assumptions!$F$24)^((B87-Assumptions!$C$4)/365)</f>
        <v>369.512877804624</v>
      </c>
      <c r="I87" s="42" t="n">
        <f aca="false">C87/H87</f>
        <v>24.3563906445465</v>
      </c>
      <c r="J87" s="42" t="n">
        <f aca="false">J86+I87</f>
        <v>1996.98959383056</v>
      </c>
      <c r="K87" s="40" t="n">
        <f aca="false">J87*H87</f>
        <v>737913.371762218</v>
      </c>
      <c r="L87" s="40" t="n">
        <f aca="false">L86+C87</f>
        <v>495000</v>
      </c>
    </row>
    <row r="88" customFormat="false" ht="15" hidden="false" customHeight="false" outlineLevel="0" collapsed="false">
      <c r="A88" s="38" t="n">
        <v>84</v>
      </c>
      <c r="B88" s="39" t="n">
        <f aca="false">EDATE(B87,1)</f>
        <v>48183</v>
      </c>
      <c r="C88" s="40" t="n">
        <f aca="false">Assumptions!$C$6+(YEAR(B88)-YEAR(Assumptions!$C$4))*Assumptions!$C$7</f>
        <v>9000</v>
      </c>
      <c r="D88" s="41" t="n">
        <f aca="false">Assumptions!$D$23*(1+Assumptions!$F$23)^((B88-Assumptions!$C$4)/365)</f>
        <v>447.038513448214</v>
      </c>
      <c r="E88" s="42" t="n">
        <f aca="false">C88/D88</f>
        <v>20.1324935755062</v>
      </c>
      <c r="F88" s="42" t="n">
        <f aca="false">F87+E88</f>
        <v>1727.89843553818</v>
      </c>
      <c r="G88" s="40" t="n">
        <f aca="false">F88*D88</f>
        <v>772437.148012484</v>
      </c>
      <c r="H88" s="41" t="n">
        <f aca="false">Assumptions!$D$24*(1+Assumptions!$F$24)^((B88-Assumptions!$C$4)/365)</f>
        <v>373.570336686233</v>
      </c>
      <c r="I88" s="42" t="n">
        <f aca="false">C88/H88</f>
        <v>24.0918486190172</v>
      </c>
      <c r="J88" s="42" t="n">
        <f aca="false">J87+I88</f>
        <v>2021.08144244958</v>
      </c>
      <c r="K88" s="40" t="n">
        <f aca="false">J88*H88</f>
        <v>755016.074926185</v>
      </c>
      <c r="L88" s="40" t="n">
        <f aca="false">L87+C88</f>
        <v>504000</v>
      </c>
    </row>
    <row r="89" customFormat="false" ht="15" hidden="false" customHeight="false" outlineLevel="0" collapsed="false">
      <c r="A89" s="33" t="n">
        <v>85</v>
      </c>
      <c r="B89" s="34" t="n">
        <f aca="false">EDATE(B88,1)</f>
        <v>48214</v>
      </c>
      <c r="C89" s="35" t="n">
        <f aca="false">Assumptions!$C$6+(YEAR(B89)-YEAR(Assumptions!$C$4))*Assumptions!$C$7</f>
        <v>10000</v>
      </c>
      <c r="D89" s="36" t="n">
        <f aca="false">Assumptions!$D$23*(1+Assumptions!$F$23)^((B89-Assumptions!$C$4)/365)</f>
        <v>452.37656577375</v>
      </c>
      <c r="E89" s="37" t="n">
        <f aca="false">C89/D89</f>
        <v>22.1054775083141</v>
      </c>
      <c r="F89" s="37" t="n">
        <f aca="false">F88+E89</f>
        <v>1750.0039130465</v>
      </c>
      <c r="G89" s="35" t="n">
        <f aca="false">F89*D89</f>
        <v>791660.760274598</v>
      </c>
      <c r="H89" s="36" t="n">
        <f aca="false">Assumptions!$D$24*(1+Assumptions!$F$24)^((B89-Assumptions!$C$4)/365)</f>
        <v>377.809855480121</v>
      </c>
      <c r="I89" s="37" t="n">
        <f aca="false">C89/H89</f>
        <v>26.4683407670559</v>
      </c>
      <c r="J89" s="37" t="n">
        <f aca="false">J88+I89</f>
        <v>2047.54978321663</v>
      </c>
      <c r="K89" s="35" t="n">
        <f aca="false">J89*H89</f>
        <v>773584.48768543</v>
      </c>
      <c r="L89" s="35" t="n">
        <f aca="false">L88+C89</f>
        <v>514000</v>
      </c>
    </row>
    <row r="90" customFormat="false" ht="15" hidden="false" customHeight="false" outlineLevel="0" collapsed="false">
      <c r="A90" s="33" t="n">
        <v>86</v>
      </c>
      <c r="B90" s="34" t="n">
        <f aca="false">EDATE(B89,1)</f>
        <v>48245</v>
      </c>
      <c r="C90" s="35" t="n">
        <f aca="false">Assumptions!$C$6+(YEAR(B90)-YEAR(Assumptions!$C$4))*Assumptions!$C$7</f>
        <v>10000</v>
      </c>
      <c r="D90" s="36" t="n">
        <f aca="false">Assumptions!$D$23*(1+Assumptions!$F$23)^((B90-Assumptions!$C$4)/365)</f>
        <v>457.778359369384</v>
      </c>
      <c r="E90" s="37" t="n">
        <f aca="false">C90/D90</f>
        <v>21.8446324412879</v>
      </c>
      <c r="F90" s="37" t="n">
        <f aca="false">F89+E90</f>
        <v>1771.84854548779</v>
      </c>
      <c r="G90" s="35" t="n">
        <f aca="false">F90*D90</f>
        <v>811113.920204428</v>
      </c>
      <c r="H90" s="36" t="n">
        <f aca="false">Assumptions!$D$24*(1+Assumptions!$F$24)^((B90-Assumptions!$C$4)/365)</f>
        <v>382.097487086615</v>
      </c>
      <c r="I90" s="37" t="n">
        <f aca="false">C90/H90</f>
        <v>26.1713315003644</v>
      </c>
      <c r="J90" s="37" t="n">
        <f aca="false">J89+I90</f>
        <v>2073.721114717</v>
      </c>
      <c r="K90" s="35" t="n">
        <f aca="false">J90*H90</f>
        <v>792363.626851819</v>
      </c>
      <c r="L90" s="35" t="n">
        <f aca="false">L89+C90</f>
        <v>524000</v>
      </c>
    </row>
    <row r="91" customFormat="false" ht="15" hidden="false" customHeight="false" outlineLevel="0" collapsed="false">
      <c r="A91" s="33" t="n">
        <v>87</v>
      </c>
      <c r="B91" s="34" t="n">
        <f aca="false">EDATE(B90,1)</f>
        <v>48274</v>
      </c>
      <c r="C91" s="35" t="n">
        <f aca="false">Assumptions!$C$6+(YEAR(B91)-YEAR(Assumptions!$C$4))*Assumptions!$C$7</f>
        <v>10000</v>
      </c>
      <c r="D91" s="36" t="n">
        <f aca="false">Assumptions!$D$23*(1+Assumptions!$F$23)^((B91-Assumptions!$C$4)/365)</f>
        <v>462.890029676595</v>
      </c>
      <c r="E91" s="37" t="n">
        <f aca="false">C91/D91</f>
        <v>21.6034033115525</v>
      </c>
      <c r="F91" s="37" t="n">
        <f aca="false">F90+E91</f>
        <v>1793.45194879934</v>
      </c>
      <c r="G91" s="35" t="n">
        <f aca="false">F91*D91</f>
        <v>830171.025803273</v>
      </c>
      <c r="H91" s="36" t="n">
        <f aca="false">Assumptions!$D$24*(1+Assumptions!$F$24)^((B91-Assumptions!$C$4)/365)</f>
        <v>386.152537756741</v>
      </c>
      <c r="I91" s="37" t="n">
        <f aca="false">C91/H91</f>
        <v>25.8965020872129</v>
      </c>
      <c r="J91" s="37" t="n">
        <f aca="false">J90+I91</f>
        <v>2099.61761680421</v>
      </c>
      <c r="K91" s="35" t="n">
        <f aca="false">J91*H91</f>
        <v>810772.671047706</v>
      </c>
      <c r="L91" s="35" t="n">
        <f aca="false">L90+C91</f>
        <v>534000</v>
      </c>
    </row>
    <row r="92" customFormat="false" ht="15" hidden="false" customHeight="false" outlineLevel="0" collapsed="false">
      <c r="A92" s="33" t="n">
        <v>88</v>
      </c>
      <c r="B92" s="34" t="n">
        <f aca="false">EDATE(B91,1)</f>
        <v>48305</v>
      </c>
      <c r="C92" s="35" t="n">
        <f aca="false">Assumptions!$C$6+(YEAR(B92)-YEAR(Assumptions!$C$4))*Assumptions!$C$7</f>
        <v>10000</v>
      </c>
      <c r="D92" s="36" t="n">
        <f aca="false">Assumptions!$D$23*(1+Assumptions!$F$23)^((B92-Assumptions!$C$4)/365)</f>
        <v>468.417363731827</v>
      </c>
      <c r="E92" s="37" t="n">
        <f aca="false">C92/D92</f>
        <v>21.3484827298697</v>
      </c>
      <c r="F92" s="37" t="n">
        <f aca="false">F91+E92</f>
        <v>1814.80043152921</v>
      </c>
      <c r="G92" s="35" t="n">
        <f aca="false">F92*D92</f>
        <v>850084.033836294</v>
      </c>
      <c r="H92" s="36" t="n">
        <f aca="false">Assumptions!$D$24*(1+Assumptions!$F$24)^((B92-Assumptions!$C$4)/365)</f>
        <v>390.534847539818</v>
      </c>
      <c r="I92" s="37" t="n">
        <f aca="false">C92/H92</f>
        <v>25.6059095955078</v>
      </c>
      <c r="J92" s="37" t="n">
        <f aca="false">J91+I92</f>
        <v>2125.22352639972</v>
      </c>
      <c r="K92" s="35" t="n">
        <f aca="false">J92*H92</f>
        <v>829973.845870549</v>
      </c>
      <c r="L92" s="35" t="n">
        <f aca="false">L91+C92</f>
        <v>544000</v>
      </c>
    </row>
    <row r="93" customFormat="false" ht="15" hidden="false" customHeight="false" outlineLevel="0" collapsed="false">
      <c r="A93" s="33" t="n">
        <v>89</v>
      </c>
      <c r="B93" s="34" t="n">
        <f aca="false">EDATE(B92,1)</f>
        <v>48335</v>
      </c>
      <c r="C93" s="35" t="n">
        <f aca="false">Assumptions!$C$6+(YEAR(B93)-YEAR(Assumptions!$C$4))*Assumptions!$C$7</f>
        <v>10000</v>
      </c>
      <c r="D93" s="36" t="n">
        <f aca="false">Assumptions!$D$23*(1+Assumptions!$F$23)^((B93-Assumptions!$C$4)/365)</f>
        <v>473.829230833641</v>
      </c>
      <c r="E93" s="37" t="n">
        <f aca="false">C93/D93</f>
        <v>21.1046498385216</v>
      </c>
      <c r="F93" s="37" t="n">
        <f aca="false">F92+E93</f>
        <v>1835.90508136773</v>
      </c>
      <c r="G93" s="35" t="n">
        <f aca="false">F93*D93</f>
        <v>869905.492588045</v>
      </c>
      <c r="H93" s="36" t="n">
        <f aca="false">Assumptions!$D$24*(1+Assumptions!$F$24)^((B93-Assumptions!$C$4)/365)</f>
        <v>394.82313945306</v>
      </c>
      <c r="I93" s="37" t="n">
        <f aca="false">C93/H93</f>
        <v>25.3277961718576</v>
      </c>
      <c r="J93" s="37" t="n">
        <f aca="false">J92+I93</f>
        <v>2150.55132257158</v>
      </c>
      <c r="K93" s="35" t="n">
        <f aca="false">J93*H93</f>
        <v>849087.424732639</v>
      </c>
      <c r="L93" s="35" t="n">
        <f aca="false">L92+C93</f>
        <v>554000</v>
      </c>
    </row>
    <row r="94" customFormat="false" ht="15" hidden="false" customHeight="false" outlineLevel="0" collapsed="false">
      <c r="A94" s="33" t="n">
        <v>90</v>
      </c>
      <c r="B94" s="34" t="n">
        <f aca="false">EDATE(B93,1)</f>
        <v>48366</v>
      </c>
      <c r="C94" s="35" t="n">
        <f aca="false">Assumptions!$C$6+(YEAR(B94)-YEAR(Assumptions!$C$4))*Assumptions!$C$7</f>
        <v>10000</v>
      </c>
      <c r="D94" s="36" t="n">
        <f aca="false">Assumptions!$D$23*(1+Assumptions!$F$23)^((B94-Assumptions!$C$4)/365)</f>
        <v>479.487189044106</v>
      </c>
      <c r="E94" s="37" t="n">
        <f aca="false">C94/D94</f>
        <v>20.8556145575771</v>
      </c>
      <c r="F94" s="37" t="n">
        <f aca="false">F93+E94</f>
        <v>1856.76069592531</v>
      </c>
      <c r="G94" s="35" t="n">
        <f aca="false">F94*D94</f>
        <v>890292.966816803</v>
      </c>
      <c r="H94" s="36" t="n">
        <f aca="false">Assumptions!$D$24*(1+Assumptions!$F$24)^((B94-Assumptions!$C$4)/365)</f>
        <v>399.303848855261</v>
      </c>
      <c r="I94" s="37" t="n">
        <f aca="false">C94/H94</f>
        <v>25.0435853014399</v>
      </c>
      <c r="J94" s="37" t="n">
        <f aca="false">J93+I94</f>
        <v>2175.59490787302</v>
      </c>
      <c r="K94" s="35" t="n">
        <f aca="false">J94*H94</f>
        <v>868723.420263602</v>
      </c>
      <c r="L94" s="35" t="n">
        <f aca="false">L93+C94</f>
        <v>564000</v>
      </c>
    </row>
    <row r="95" customFormat="false" ht="15" hidden="false" customHeight="false" outlineLevel="0" collapsed="false">
      <c r="A95" s="38" t="n">
        <v>91</v>
      </c>
      <c r="B95" s="39" t="n">
        <f aca="false">EDATE(B94,1)</f>
        <v>48396</v>
      </c>
      <c r="C95" s="40" t="n">
        <f aca="false">Assumptions!$C$6+(YEAR(B95)-YEAR(Assumptions!$C$4))*Assumptions!$C$7</f>
        <v>10000</v>
      </c>
      <c r="D95" s="41" t="n">
        <f aca="false">Assumptions!$D$23*(1+Assumptions!$F$23)^((B95-Assumptions!$C$4)/365)</f>
        <v>485.026951540218</v>
      </c>
      <c r="E95" s="42" t="n">
        <f aca="false">C95/D95</f>
        <v>20.6174109876672</v>
      </c>
      <c r="F95" s="42" t="n">
        <f aca="false">F94+E95</f>
        <v>1877.37810691297</v>
      </c>
      <c r="G95" s="40" t="n">
        <f aca="false">F95*D95</f>
        <v>910578.980084345</v>
      </c>
      <c r="H95" s="41" t="n">
        <f aca="false">Assumptions!$D$24*(1+Assumptions!$F$24)^((B95-Assumptions!$C$4)/365)</f>
        <v>403.688429326783</v>
      </c>
      <c r="I95" s="42" t="n">
        <f aca="false">C95/H95</f>
        <v>24.7715794497173</v>
      </c>
      <c r="J95" s="42" t="n">
        <f aca="false">J94+I95</f>
        <v>2200.36648732273</v>
      </c>
      <c r="K95" s="40" t="n">
        <f aca="false">J95*H95</f>
        <v>888262.491210606</v>
      </c>
      <c r="L95" s="40" t="n">
        <f aca="false">L94+C95</f>
        <v>574000</v>
      </c>
    </row>
    <row r="96" customFormat="false" ht="15" hidden="false" customHeight="false" outlineLevel="0" collapsed="false">
      <c r="A96" s="38" t="n">
        <v>92</v>
      </c>
      <c r="B96" s="39" t="n">
        <f aca="false">EDATE(B95,1)</f>
        <v>48427</v>
      </c>
      <c r="C96" s="40" t="n">
        <f aca="false">Assumptions!$C$6+(YEAR(B96)-YEAR(Assumptions!$C$4))*Assumptions!$C$7</f>
        <v>10000</v>
      </c>
      <c r="D96" s="41" t="n">
        <f aca="false">Assumptions!$D$23*(1+Assumptions!$F$23)^((B96-Assumptions!$C$4)/365)</f>
        <v>490.818620867869</v>
      </c>
      <c r="E96" s="42" t="n">
        <f aca="false">C96/D96</f>
        <v>20.3741251346942</v>
      </c>
      <c r="F96" s="42" t="n">
        <f aca="false">F95+E96</f>
        <v>1897.75223204767</v>
      </c>
      <c r="G96" s="40" t="n">
        <f aca="false">F96*D96</f>
        <v>931452.133282557</v>
      </c>
      <c r="H96" s="41" t="n">
        <f aca="false">Assumptions!$D$24*(1+Assumptions!$F$24)^((B96-Assumptions!$C$4)/365)</f>
        <v>408.269747795985</v>
      </c>
      <c r="I96" s="42" t="n">
        <f aca="false">C96/H96</f>
        <v>24.4936100555681</v>
      </c>
      <c r="J96" s="42" t="n">
        <f aca="false">J95+I96</f>
        <v>2224.8600973783</v>
      </c>
      <c r="K96" s="40" t="n">
        <f aca="false">J96*H96</f>
        <v>908343.070837989</v>
      </c>
      <c r="L96" s="40" t="n">
        <f aca="false">L95+C96</f>
        <v>584000</v>
      </c>
    </row>
    <row r="97" customFormat="false" ht="15" hidden="false" customHeight="false" outlineLevel="0" collapsed="false">
      <c r="A97" s="38" t="n">
        <v>93</v>
      </c>
      <c r="B97" s="39" t="n">
        <f aca="false">EDATE(B96,1)</f>
        <v>48458</v>
      </c>
      <c r="C97" s="40" t="n">
        <f aca="false">Assumptions!$C$6+(YEAR(B97)-YEAR(Assumptions!$C$4))*Assumptions!$C$7</f>
        <v>10000</v>
      </c>
      <c r="D97" s="41" t="n">
        <f aca="false">Assumptions!$D$23*(1+Assumptions!$F$23)^((B97-Assumptions!$C$4)/365)</f>
        <v>496.679448071169</v>
      </c>
      <c r="E97" s="42" t="n">
        <f aca="false">C97/D97</f>
        <v>20.1337100595455</v>
      </c>
      <c r="F97" s="42" t="n">
        <f aca="false">F96+E97</f>
        <v>1917.88594210721</v>
      </c>
      <c r="G97" s="40" t="n">
        <f aca="false">F97*D97</f>
        <v>952574.531189265</v>
      </c>
      <c r="H97" s="41" t="n">
        <f aca="false">Assumptions!$D$24*(1+Assumptions!$F$24)^((B97-Assumptions!$C$4)/365)</f>
        <v>412.903058042486</v>
      </c>
      <c r="I97" s="42" t="n">
        <f aca="false">C97/H97</f>
        <v>24.2187598401634</v>
      </c>
      <c r="J97" s="42" t="n">
        <f aca="false">J96+I97</f>
        <v>2249.07885721846</v>
      </c>
      <c r="K97" s="40" t="n">
        <f aca="false">J97*H97</f>
        <v>928651.537924204</v>
      </c>
      <c r="L97" s="40" t="n">
        <f aca="false">L96+C97</f>
        <v>594000</v>
      </c>
    </row>
    <row r="98" customFormat="false" ht="15" hidden="false" customHeight="false" outlineLevel="0" collapsed="false">
      <c r="A98" s="38" t="n">
        <v>94</v>
      </c>
      <c r="B98" s="39" t="n">
        <f aca="false">EDATE(B97,1)</f>
        <v>48488</v>
      </c>
      <c r="C98" s="40" t="n">
        <f aca="false">Assumptions!$C$6+(YEAR(B98)-YEAR(Assumptions!$C$4))*Assumptions!$C$7</f>
        <v>10000</v>
      </c>
      <c r="D98" s="41" t="n">
        <f aca="false">Assumptions!$D$23*(1+Assumptions!$F$23)^((B98-Assumptions!$C$4)/365)</f>
        <v>502.417841592171</v>
      </c>
      <c r="E98" s="42" t="n">
        <f aca="false">C98/D98</f>
        <v>19.9037517622977</v>
      </c>
      <c r="F98" s="42" t="n">
        <f aca="false">F97+E98</f>
        <v>1937.78969386951</v>
      </c>
      <c r="G98" s="40" t="n">
        <f aca="false">F98*D98</f>
        <v>973580.115453474</v>
      </c>
      <c r="H98" s="41" t="n">
        <f aca="false">Assumptions!$D$24*(1+Assumptions!$F$24)^((B98-Assumptions!$C$4)/365)</f>
        <v>417.436965466908</v>
      </c>
      <c r="I98" s="42" t="n">
        <f aca="false">C98/H98</f>
        <v>23.9557126638627</v>
      </c>
      <c r="J98" s="42" t="n">
        <f aca="false">J97+I98</f>
        <v>2273.03456988233</v>
      </c>
      <c r="K98" s="40" t="n">
        <f aca="false">J98*H98</f>
        <v>948848.653253057</v>
      </c>
      <c r="L98" s="40" t="n">
        <f aca="false">L97+C98</f>
        <v>604000</v>
      </c>
    </row>
    <row r="99" customFormat="false" ht="15" hidden="false" customHeight="false" outlineLevel="0" collapsed="false">
      <c r="A99" s="38" t="n">
        <v>95</v>
      </c>
      <c r="B99" s="39" t="n">
        <f aca="false">EDATE(B98,1)</f>
        <v>48519</v>
      </c>
      <c r="C99" s="40" t="n">
        <f aca="false">Assumptions!$C$6+(YEAR(B99)-YEAR(Assumptions!$C$4))*Assumptions!$C$7</f>
        <v>10000</v>
      </c>
      <c r="D99" s="41" t="n">
        <f aca="false">Assumptions!$D$23*(1+Assumptions!$F$23)^((B99-Assumptions!$C$4)/365)</f>
        <v>508.417174193326</v>
      </c>
      <c r="E99" s="42" t="n">
        <f aca="false">C99/D99</f>
        <v>19.6688871021448</v>
      </c>
      <c r="F99" s="42" t="n">
        <f aca="false">F98+E99</f>
        <v>1957.45858097166</v>
      </c>
      <c r="G99" s="40" t="n">
        <f aca="false">F99*D99</f>
        <v>995205.560338087</v>
      </c>
      <c r="H99" s="41" t="n">
        <f aca="false">Assumptions!$D$24*(1+Assumptions!$F$24)^((B99-Assumptions!$C$4)/365)</f>
        <v>422.174311253137</v>
      </c>
      <c r="I99" s="42" t="n">
        <f aca="false">C99/H99</f>
        <v>23.6868983579722</v>
      </c>
      <c r="J99" s="42" t="n">
        <f aca="false">J98+I99</f>
        <v>2296.7214682403</v>
      </c>
      <c r="K99" s="40" t="n">
        <f aca="false">J99*H99</f>
        <v>969616.803994643</v>
      </c>
      <c r="L99" s="40" t="n">
        <f aca="false">L98+C99</f>
        <v>614000</v>
      </c>
    </row>
    <row r="100" customFormat="false" ht="15" hidden="false" customHeight="false" outlineLevel="0" collapsed="false">
      <c r="A100" s="38" t="n">
        <v>96</v>
      </c>
      <c r="B100" s="39" t="n">
        <f aca="false">EDATE(B99,1)</f>
        <v>48549</v>
      </c>
      <c r="C100" s="40" t="n">
        <f aca="false">Assumptions!$C$6+(YEAR(B100)-YEAR(Assumptions!$C$4))*Assumptions!$C$7</f>
        <v>10000</v>
      </c>
      <c r="D100" s="41" t="n">
        <f aca="false">Assumptions!$D$23*(1+Assumptions!$F$23)^((B100-Assumptions!$C$4)/365)</f>
        <v>514.291179710742</v>
      </c>
      <c r="E100" s="42" t="n">
        <f aca="false">C100/D100</f>
        <v>19.4442378063423</v>
      </c>
      <c r="F100" s="42" t="n">
        <f aca="false">F99+E100</f>
        <v>1976.902818778</v>
      </c>
      <c r="G100" s="40" t="n">
        <f aca="false">F100*D100</f>
        <v>1016703.68284283</v>
      </c>
      <c r="H100" s="41" t="n">
        <f aca="false">Assumptions!$D$24*(1+Assumptions!$F$24)^((B100-Assumptions!$C$4)/365)</f>
        <v>426.810022243667</v>
      </c>
      <c r="I100" s="42" t="n">
        <f aca="false">C100/H100</f>
        <v>23.4296278879107</v>
      </c>
      <c r="J100" s="42" t="n">
        <f aca="false">J99+I100</f>
        <v>2320.15109612821</v>
      </c>
      <c r="K100" s="40" t="n">
        <f aca="false">J100*H100</f>
        <v>990263.740947149</v>
      </c>
      <c r="L100" s="40" t="n">
        <f aca="false">L99+C100</f>
        <v>624000</v>
      </c>
    </row>
    <row r="101" customFormat="false" ht="15" hidden="false" customHeight="false" outlineLevel="0" collapsed="false">
      <c r="A101" s="33" t="n">
        <v>97</v>
      </c>
      <c r="B101" s="34" t="n">
        <f aca="false">EDATE(B100,1)</f>
        <v>48580</v>
      </c>
      <c r="C101" s="35" t="n">
        <f aca="false">Assumptions!$C$6+(YEAR(B101)-YEAR(Assumptions!$C$4))*Assumptions!$C$7</f>
        <v>11000</v>
      </c>
      <c r="D101" s="36" t="n">
        <f aca="false">Assumptions!$D$23*(1+Assumptions!$F$23)^((B101-Assumptions!$C$4)/365)</f>
        <v>520.432290924363</v>
      </c>
      <c r="E101" s="37" t="n">
        <f aca="false">C101/D101</f>
        <v>21.1362749618445</v>
      </c>
      <c r="F101" s="37" t="n">
        <f aca="false">F100+E101</f>
        <v>1998.03909373984</v>
      </c>
      <c r="G101" s="35" t="n">
        <f aca="false">F101*D101</f>
        <v>1039844.06291147</v>
      </c>
      <c r="H101" s="36" t="n">
        <f aca="false">Assumptions!$D$24*(1+Assumptions!$F$24)^((B101-Assumptions!$C$4)/365)</f>
        <v>431.653739565479</v>
      </c>
      <c r="I101" s="37" t="n">
        <f aca="false">C101/H101</f>
        <v>25.4833886324559</v>
      </c>
      <c r="J101" s="37" t="n">
        <f aca="false">J100+I101</f>
        <v>2345.63448476067</v>
      </c>
      <c r="K101" s="35" t="n">
        <f aca="false">J101*H101</f>
        <v>1012501.89700069</v>
      </c>
      <c r="L101" s="35" t="n">
        <f aca="false">L100+C101</f>
        <v>635000</v>
      </c>
    </row>
    <row r="102" customFormat="false" ht="15" hidden="false" customHeight="false" outlineLevel="0" collapsed="false">
      <c r="A102" s="33" t="n">
        <v>98</v>
      </c>
      <c r="B102" s="34" t="n">
        <f aca="false">EDATE(B101,1)</f>
        <v>48611</v>
      </c>
      <c r="C102" s="35" t="n">
        <f aca="false">Assumptions!$C$6+(YEAR(B102)-YEAR(Assumptions!$C$4))*Assumptions!$C$7</f>
        <v>11000</v>
      </c>
      <c r="D102" s="36" t="n">
        <f aca="false">Assumptions!$D$23*(1+Assumptions!$F$23)^((B102-Assumptions!$C$4)/365)</f>
        <v>526.646732672176</v>
      </c>
      <c r="E102" s="37" t="n">
        <f aca="false">C102/D102</f>
        <v>20.8868665038262</v>
      </c>
      <c r="F102" s="37" t="n">
        <f aca="false">F101+E102</f>
        <v>2018.92596024367</v>
      </c>
      <c r="G102" s="35" t="n">
        <f aca="false">F102*D102</f>
        <v>1063260.76046936</v>
      </c>
      <c r="H102" s="36" t="n">
        <f aca="false">Assumptions!$D$24*(1+Assumptions!$F$24)^((B102-Assumptions!$C$4)/365)</f>
        <v>436.552426537183</v>
      </c>
      <c r="I102" s="37" t="n">
        <f aca="false">C102/H102</f>
        <v>25.1974318119225</v>
      </c>
      <c r="J102" s="37" t="n">
        <f aca="false">J101+I102</f>
        <v>2370.83191657259</v>
      </c>
      <c r="K102" s="35" t="n">
        <f aca="false">J102*H102</f>
        <v>1034992.42609156</v>
      </c>
      <c r="L102" s="35" t="n">
        <f aca="false">L101+C102</f>
        <v>646000</v>
      </c>
    </row>
    <row r="103" customFormat="false" ht="15" hidden="false" customHeight="false" outlineLevel="0" collapsed="false">
      <c r="A103" s="33" t="n">
        <v>99</v>
      </c>
      <c r="B103" s="34" t="n">
        <f aca="false">EDATE(B102,1)</f>
        <v>48639</v>
      </c>
      <c r="C103" s="35" t="n">
        <f aca="false">Assumptions!$C$6+(YEAR(B103)-YEAR(Assumptions!$C$4))*Assumptions!$C$7</f>
        <v>11000</v>
      </c>
      <c r="D103" s="36" t="n">
        <f aca="false">Assumptions!$D$23*(1+Assumptions!$F$23)^((B103-Assumptions!$C$4)/365)</f>
        <v>532.323534128084</v>
      </c>
      <c r="E103" s="37" t="n">
        <f aca="false">C103/D103</f>
        <v>20.6641249067024</v>
      </c>
      <c r="F103" s="37" t="n">
        <f aca="false">F102+E103</f>
        <v>2039.59008515037</v>
      </c>
      <c r="G103" s="35" t="n">
        <f aca="false">F103*D103</f>
        <v>1085721.80229985</v>
      </c>
      <c r="H103" s="36" t="n">
        <f aca="false">Assumptions!$D$24*(1+Assumptions!$F$24)^((B103-Assumptions!$C$4)/365)</f>
        <v>441.024813371974</v>
      </c>
      <c r="I103" s="37" t="n">
        <f aca="false">C103/H103</f>
        <v>24.9419072725104</v>
      </c>
      <c r="J103" s="37" t="n">
        <f aca="false">J102+I103</f>
        <v>2395.7738238451</v>
      </c>
      <c r="K103" s="35" t="n">
        <f aca="false">J103*H103</f>
        <v>1056595.70354275</v>
      </c>
      <c r="L103" s="35" t="n">
        <f aca="false">L102+C103</f>
        <v>657000</v>
      </c>
    </row>
    <row r="104" customFormat="false" ht="15" hidden="false" customHeight="false" outlineLevel="0" collapsed="false">
      <c r="A104" s="33" t="n">
        <v>100</v>
      </c>
      <c r="B104" s="34" t="n">
        <f aca="false">EDATE(B103,1)</f>
        <v>48670</v>
      </c>
      <c r="C104" s="35" t="n">
        <f aca="false">Assumptions!$C$6+(YEAR(B104)-YEAR(Assumptions!$C$4))*Assumptions!$C$7</f>
        <v>11000</v>
      </c>
      <c r="D104" s="36" t="n">
        <f aca="false">Assumptions!$D$23*(1+Assumptions!$F$23)^((B104-Assumptions!$C$4)/365)</f>
        <v>538.679968291601</v>
      </c>
      <c r="E104" s="37" t="n">
        <f aca="false">C104/D104</f>
        <v>20.420287828571</v>
      </c>
      <c r="F104" s="37" t="n">
        <f aca="false">F103+E104</f>
        <v>2060.01037297894</v>
      </c>
      <c r="G104" s="35" t="n">
        <f aca="false">F104*D104</f>
        <v>1109686.32239667</v>
      </c>
      <c r="H104" s="36" t="n">
        <f aca="false">Assumptions!$D$24*(1+Assumptions!$F$24)^((B104-Assumptions!$C$4)/365)</f>
        <v>446.029849375227</v>
      </c>
      <c r="I104" s="37" t="n">
        <f aca="false">C104/H104</f>
        <v>24.6620265782843</v>
      </c>
      <c r="J104" s="37" t="n">
        <f aca="false">J103+I104</f>
        <v>2420.43585042338</v>
      </c>
      <c r="K104" s="35" t="n">
        <f aca="false">J104*H104</f>
        <v>1079586.63778674</v>
      </c>
      <c r="L104" s="35" t="n">
        <f aca="false">L103+C104</f>
        <v>668000</v>
      </c>
    </row>
    <row r="105" customFormat="false" ht="15" hidden="false" customHeight="false" outlineLevel="0" collapsed="false">
      <c r="A105" s="33" t="n">
        <v>101</v>
      </c>
      <c r="B105" s="34" t="n">
        <f aca="false">EDATE(B104,1)</f>
        <v>48700</v>
      </c>
      <c r="C105" s="35" t="n">
        <f aca="false">Assumptions!$C$6+(YEAR(B105)-YEAR(Assumptions!$C$4))*Assumptions!$C$7</f>
        <v>11000</v>
      </c>
      <c r="D105" s="36" t="n">
        <f aca="false">Assumptions!$D$23*(1+Assumptions!$F$23)^((B105-Assumptions!$C$4)/365)</f>
        <v>544.903615458687</v>
      </c>
      <c r="E105" s="37" t="n">
        <f aca="false">C105/D105</f>
        <v>20.1870563672815</v>
      </c>
      <c r="F105" s="37" t="n">
        <f aca="false">F104+E105</f>
        <v>2080.19742934622</v>
      </c>
      <c r="G105" s="35" t="n">
        <f aca="false">F105*D105</f>
        <v>1133507.10011862</v>
      </c>
      <c r="H105" s="36" t="n">
        <f aca="false">Assumptions!$D$24*(1+Assumptions!$F$24)^((B105-Assumptions!$C$4)/365)</f>
        <v>450.927507569339</v>
      </c>
      <c r="I105" s="37" t="n">
        <f aca="false">C105/H105</f>
        <v>24.3941649496921</v>
      </c>
      <c r="J105" s="37" t="n">
        <f aca="false">J104+I105</f>
        <v>2444.83001537308</v>
      </c>
      <c r="K105" s="35" t="n">
        <f aca="false">J105*H105</f>
        <v>1102441.10526289</v>
      </c>
      <c r="L105" s="35" t="n">
        <f aca="false">L104+C105</f>
        <v>679000</v>
      </c>
    </row>
    <row r="106" customFormat="false" ht="15" hidden="false" customHeight="false" outlineLevel="0" collapsed="false">
      <c r="A106" s="33" t="n">
        <v>102</v>
      </c>
      <c r="B106" s="34" t="n">
        <f aca="false">EDATE(B105,1)</f>
        <v>48731</v>
      </c>
      <c r="C106" s="35" t="n">
        <f aca="false">Assumptions!$C$6+(YEAR(B106)-YEAR(Assumptions!$C$4))*Assumptions!$C$7</f>
        <v>11000</v>
      </c>
      <c r="D106" s="36" t="n">
        <f aca="false">Assumptions!$D$23*(1+Assumptions!$F$23)^((B106-Assumptions!$C$4)/365)</f>
        <v>551.410267400722</v>
      </c>
      <c r="E106" s="37" t="n">
        <f aca="false">C106/D106</f>
        <v>19.9488487072477</v>
      </c>
      <c r="F106" s="37" t="n">
        <f aca="false">F105+E106</f>
        <v>2100.14627805347</v>
      </c>
      <c r="G106" s="35" t="n">
        <f aca="false">F106*D106</f>
        <v>1158042.2207621</v>
      </c>
      <c r="H106" s="36" t="n">
        <f aca="false">Assumptions!$D$24*(1+Assumptions!$F$24)^((B106-Assumptions!$C$4)/365)</f>
        <v>456.044925777593</v>
      </c>
      <c r="I106" s="37" t="n">
        <f aca="false">C106/H106</f>
        <v>24.1204306379336</v>
      </c>
      <c r="J106" s="37" t="n">
        <f aca="false">J105+I106</f>
        <v>2468.95044601101</v>
      </c>
      <c r="K106" s="35" t="n">
        <f aca="false">J106*H106</f>
        <v>1125952.32289965</v>
      </c>
      <c r="L106" s="35" t="n">
        <f aca="false">L105+C106</f>
        <v>690000</v>
      </c>
    </row>
    <row r="107" customFormat="false" ht="15" hidden="false" customHeight="false" outlineLevel="0" collapsed="false">
      <c r="A107" s="38" t="n">
        <v>103</v>
      </c>
      <c r="B107" s="39" t="n">
        <f aca="false">EDATE(B106,1)</f>
        <v>48761</v>
      </c>
      <c r="C107" s="40" t="n">
        <f aca="false">Assumptions!$C$6+(YEAR(B107)-YEAR(Assumptions!$C$4))*Assumptions!$C$7</f>
        <v>11000</v>
      </c>
      <c r="D107" s="41" t="n">
        <f aca="false">Assumptions!$D$23*(1+Assumptions!$F$23)^((B107-Assumptions!$C$4)/365)</f>
        <v>557.78099427125</v>
      </c>
      <c r="E107" s="42" t="n">
        <f aca="false">C107/D107</f>
        <v>19.7210018142903</v>
      </c>
      <c r="F107" s="42" t="n">
        <f aca="false">F106+E107</f>
        <v>2119.86727986776</v>
      </c>
      <c r="G107" s="40" t="n">
        <f aca="false">F107*D107</f>
        <v>1182421.67908773</v>
      </c>
      <c r="H107" s="41" t="n">
        <f aca="false">Assumptions!$D$24*(1+Assumptions!$F$24)^((B107-Assumptions!$C$4)/365)</f>
        <v>461.052555134119</v>
      </c>
      <c r="I107" s="42" t="n">
        <f aca="false">C107/H107</f>
        <v>23.8584514444348</v>
      </c>
      <c r="J107" s="42" t="n">
        <f aca="false">J106+I107</f>
        <v>2492.80889745544</v>
      </c>
      <c r="K107" s="40" t="n">
        <f aca="false">J107*H107</f>
        <v>1149315.9116329</v>
      </c>
      <c r="L107" s="40" t="n">
        <f aca="false">L106+C107</f>
        <v>701000</v>
      </c>
    </row>
    <row r="108" customFormat="false" ht="15" hidden="false" customHeight="false" outlineLevel="0" collapsed="false">
      <c r="A108" s="38" t="n">
        <v>104</v>
      </c>
      <c r="B108" s="39" t="n">
        <f aca="false">EDATE(B107,1)</f>
        <v>48792</v>
      </c>
      <c r="C108" s="40" t="n">
        <f aca="false">Assumptions!$C$6+(YEAR(B108)-YEAR(Assumptions!$C$4))*Assumptions!$C$7</f>
        <v>11000</v>
      </c>
      <c r="D108" s="41" t="n">
        <f aca="false">Assumptions!$D$23*(1+Assumptions!$F$23)^((B108-Assumptions!$C$4)/365)</f>
        <v>564.441413998049</v>
      </c>
      <c r="E108" s="42" t="n">
        <f aca="false">C108/D108</f>
        <v>19.4882936070988</v>
      </c>
      <c r="F108" s="42" t="n">
        <f aca="false">F107+E108</f>
        <v>2139.35557347486</v>
      </c>
      <c r="G108" s="40" t="n">
        <f aca="false">F108*D108</f>
        <v>1207540.88493676</v>
      </c>
      <c r="H108" s="41" t="n">
        <f aca="false">Assumptions!$D$24*(1+Assumptions!$F$24)^((B108-Assumptions!$C$4)/365)</f>
        <v>466.284878957794</v>
      </c>
      <c r="I108" s="42" t="n">
        <f aca="false">C108/H108</f>
        <v>23.5907285361395</v>
      </c>
      <c r="J108" s="42" t="n">
        <f aca="false">J107+I108</f>
        <v>2516.39962599158</v>
      </c>
      <c r="K108" s="40" t="n">
        <f aca="false">J108*H108</f>
        <v>1173359.09501492</v>
      </c>
      <c r="L108" s="40" t="n">
        <f aca="false">L107+C108</f>
        <v>712000</v>
      </c>
    </row>
    <row r="109" customFormat="false" ht="15" hidden="false" customHeight="false" outlineLevel="0" collapsed="false">
      <c r="A109" s="38" t="n">
        <v>105</v>
      </c>
      <c r="B109" s="39" t="n">
        <f aca="false">EDATE(B108,1)</f>
        <v>48823</v>
      </c>
      <c r="C109" s="40" t="n">
        <f aca="false">Assumptions!$C$6+(YEAR(B109)-YEAR(Assumptions!$C$4))*Assumptions!$C$7</f>
        <v>11000</v>
      </c>
      <c r="D109" s="41" t="n">
        <f aca="false">Assumptions!$D$23*(1+Assumptions!$F$23)^((B109-Assumptions!$C$4)/365)</f>
        <v>571.181365281844</v>
      </c>
      <c r="E109" s="42" t="n">
        <f aca="false">C109/D109</f>
        <v>19.2583313613044</v>
      </c>
      <c r="F109" s="42" t="n">
        <f aca="false">F108+E109</f>
        <v>2158.61390483617</v>
      </c>
      <c r="G109" s="40" t="n">
        <f aca="false">F109*D109</f>
        <v>1232960.03728069</v>
      </c>
      <c r="H109" s="41" t="n">
        <f aca="false">Assumptions!$D$24*(1+Assumptions!$F$24)^((B109-Assumptions!$C$4)/365)</f>
        <v>471.576582590324</v>
      </c>
      <c r="I109" s="42" t="n">
        <f aca="false">C109/H109</f>
        <v>23.3260098276681</v>
      </c>
      <c r="J109" s="42" t="n">
        <f aca="false">J108+I109</f>
        <v>2539.72563581925</v>
      </c>
      <c r="K109" s="40" t="n">
        <f aca="false">J109*H109</f>
        <v>1197675.13605668</v>
      </c>
      <c r="L109" s="40" t="n">
        <f aca="false">L108+C109</f>
        <v>723000</v>
      </c>
    </row>
    <row r="110" customFormat="false" ht="15" hidden="false" customHeight="false" outlineLevel="0" collapsed="false">
      <c r="A110" s="38" t="n">
        <v>106</v>
      </c>
      <c r="B110" s="39" t="n">
        <f aca="false">EDATE(B109,1)</f>
        <v>48853</v>
      </c>
      <c r="C110" s="40" t="n">
        <f aca="false">Assumptions!$C$6+(YEAR(B110)-YEAR(Assumptions!$C$4))*Assumptions!$C$7</f>
        <v>11000</v>
      </c>
      <c r="D110" s="41" t="n">
        <f aca="false">Assumptions!$D$23*(1+Assumptions!$F$23)^((B110-Assumptions!$C$4)/365)</f>
        <v>577.780517830996</v>
      </c>
      <c r="E110" s="42" t="n">
        <f aca="false">C110/D110</f>
        <v>19.0383712508935</v>
      </c>
      <c r="F110" s="42" t="n">
        <f aca="false">F109+E110</f>
        <v>2177.65227608706</v>
      </c>
      <c r="G110" s="40" t="n">
        <f aca="false">F110*D110</f>
        <v>1258205.05973343</v>
      </c>
      <c r="H110" s="41" t="n">
        <f aca="false">Assumptions!$D$24*(1+Assumptions!$F$24)^((B110-Assumptions!$C$4)/365)</f>
        <v>476.754758259755</v>
      </c>
      <c r="I110" s="42" t="n">
        <f aca="false">C110/H110</f>
        <v>23.0726590756054</v>
      </c>
      <c r="J110" s="42" t="n">
        <f aca="false">J109+I110</f>
        <v>2562.79829489486</v>
      </c>
      <c r="K110" s="40" t="n">
        <f aca="false">J110*H110</f>
        <v>1221826.28155111</v>
      </c>
      <c r="L110" s="40" t="n">
        <f aca="false">L109+C110</f>
        <v>734000</v>
      </c>
    </row>
    <row r="111" customFormat="false" ht="15" hidden="false" customHeight="false" outlineLevel="0" collapsed="false">
      <c r="A111" s="38" t="n">
        <v>107</v>
      </c>
      <c r="B111" s="39" t="n">
        <f aca="false">EDATE(B110,1)</f>
        <v>48884</v>
      </c>
      <c r="C111" s="40" t="n">
        <f aca="false">Assumptions!$C$6+(YEAR(B111)-YEAR(Assumptions!$C$4))*Assumptions!$C$7</f>
        <v>11000</v>
      </c>
      <c r="D111" s="41" t="n">
        <f aca="false">Assumptions!$D$23*(1+Assumptions!$F$23)^((B111-Assumptions!$C$4)/365)</f>
        <v>584.679750322325</v>
      </c>
      <c r="E111" s="42" t="n">
        <f aca="false">C111/D111</f>
        <v>18.8137180977037</v>
      </c>
      <c r="F111" s="42" t="n">
        <f aca="false">F110+E111</f>
        <v>2196.46599418476</v>
      </c>
      <c r="G111" s="40" t="n">
        <f aca="false">F111*D111</f>
        <v>1284229.18907142</v>
      </c>
      <c r="H111" s="41" t="n">
        <f aca="false">Assumptions!$D$24*(1+Assumptions!$F$24)^((B111-Assumptions!$C$4)/365)</f>
        <v>482.165280882208</v>
      </c>
      <c r="I111" s="42" t="n">
        <f aca="false">C111/H111</f>
        <v>22.8137537814285</v>
      </c>
      <c r="J111" s="42" t="n">
        <f aca="false">J110+I111</f>
        <v>2585.61204867629</v>
      </c>
      <c r="K111" s="40" t="n">
        <f aca="false">J111*H111</f>
        <v>1246692.35970242</v>
      </c>
      <c r="L111" s="40" t="n">
        <f aca="false">L110+C111</f>
        <v>745000</v>
      </c>
    </row>
    <row r="112" customFormat="false" ht="15" hidden="false" customHeight="false" outlineLevel="0" collapsed="false">
      <c r="A112" s="38" t="n">
        <v>108</v>
      </c>
      <c r="B112" s="39" t="n">
        <f aca="false">EDATE(B111,1)</f>
        <v>48914</v>
      </c>
      <c r="C112" s="40" t="n">
        <f aca="false">Assumptions!$C$6+(YEAR(B112)-YEAR(Assumptions!$C$4))*Assumptions!$C$7</f>
        <v>11000</v>
      </c>
      <c r="D112" s="41" t="n">
        <f aca="false">Assumptions!$D$23*(1+Assumptions!$F$23)^((B112-Assumptions!$C$4)/365)</f>
        <v>591.434856667353</v>
      </c>
      <c r="E112" s="42" t="n">
        <f aca="false">C112/D112</f>
        <v>18.5988361625883</v>
      </c>
      <c r="F112" s="42" t="n">
        <f aca="false">F111+E112</f>
        <v>2215.06483034735</v>
      </c>
      <c r="G112" s="40" t="n">
        <f aca="false">F112*D112</f>
        <v>1310066.55044538</v>
      </c>
      <c r="H112" s="41" t="n">
        <f aca="false">Assumptions!$D$24*(1+Assumptions!$F$24)^((B112-Assumptions!$C$4)/365)</f>
        <v>487.459726404492</v>
      </c>
      <c r="I112" s="42" t="n">
        <f aca="false">C112/H112</f>
        <v>22.5659667951158</v>
      </c>
      <c r="J112" s="42" t="n">
        <f aca="false">J111+I112</f>
        <v>2608.1780154714</v>
      </c>
      <c r="K112" s="40" t="n">
        <f aca="false">J112*H112</f>
        <v>1271381.7418359</v>
      </c>
      <c r="L112" s="40" t="n">
        <f aca="false">L111+C112</f>
        <v>756000</v>
      </c>
    </row>
    <row r="113" customFormat="false" ht="15" hidden="false" customHeight="false" outlineLevel="0" collapsed="false">
      <c r="A113" s="33" t="n">
        <v>109</v>
      </c>
      <c r="B113" s="34" t="n">
        <f aca="false">EDATE(B112,1)</f>
        <v>48945</v>
      </c>
      <c r="C113" s="35" t="n">
        <f aca="false">Assumptions!$C$6+(YEAR(B113)-YEAR(Assumptions!$C$4))*Assumptions!$C$7</f>
        <v>12000</v>
      </c>
      <c r="D113" s="36" t="n">
        <f aca="false">Assumptions!$D$23*(1+Assumptions!$F$23)^((B113-Assumptions!$C$4)/365)</f>
        <v>598.497134563018</v>
      </c>
      <c r="E113" s="37" t="n">
        <f aca="false">C113/D113</f>
        <v>20.0502213076786</v>
      </c>
      <c r="F113" s="37" t="n">
        <f aca="false">F112+E113</f>
        <v>2235.11505165503</v>
      </c>
      <c r="G113" s="35" t="n">
        <f aca="false">F113*D113</f>
        <v>1337709.95383421</v>
      </c>
      <c r="H113" s="36" t="n">
        <f aca="false">Assumptions!$D$24*(1+Assumptions!$F$24)^((B113-Assumptions!$C$4)/365)</f>
        <v>492.991735957733</v>
      </c>
      <c r="I113" s="37" t="n">
        <f aca="false">C113/H113</f>
        <v>24.341178816492</v>
      </c>
      <c r="J113" s="37" t="n">
        <f aca="false">J112+I113</f>
        <v>2632.51919428789</v>
      </c>
      <c r="K113" s="35" t="n">
        <f aca="false">J113*H113</f>
        <v>1297810.20753404</v>
      </c>
      <c r="L113" s="35" t="n">
        <f aca="false">L112+C113</f>
        <v>768000</v>
      </c>
    </row>
    <row r="114" customFormat="false" ht="15" hidden="false" customHeight="false" outlineLevel="0" collapsed="false">
      <c r="A114" s="33" t="n">
        <v>110</v>
      </c>
      <c r="B114" s="34" t="n">
        <f aca="false">EDATE(B113,1)</f>
        <v>48976</v>
      </c>
      <c r="C114" s="35" t="n">
        <f aca="false">Assumptions!$C$6+(YEAR(B114)-YEAR(Assumptions!$C$4))*Assumptions!$C$7</f>
        <v>12000</v>
      </c>
      <c r="D114" s="36" t="n">
        <f aca="false">Assumptions!$D$23*(1+Assumptions!$F$23)^((B114-Assumptions!$C$4)/365)</f>
        <v>605.643742573002</v>
      </c>
      <c r="E114" s="37" t="n">
        <f aca="false">C114/D114</f>
        <v>19.8136283040249</v>
      </c>
      <c r="F114" s="37" t="n">
        <f aca="false">F113+E114</f>
        <v>2254.92867995905</v>
      </c>
      <c r="G114" s="35" t="n">
        <f aca="false">F114*D114</f>
        <v>1365683.4449656</v>
      </c>
      <c r="H114" s="36" t="n">
        <f aca="false">Assumptions!$D$24*(1+Assumptions!$F$24)^((B114-Assumptions!$C$4)/365)</f>
        <v>498.586526348117</v>
      </c>
      <c r="I114" s="37" t="n">
        <f aca="false">C114/H114</f>
        <v>24.068039078179</v>
      </c>
      <c r="J114" s="37" t="n">
        <f aca="false">J113+I114</f>
        <v>2656.58723336607</v>
      </c>
      <c r="K114" s="35" t="n">
        <f aca="false">J114*H114</f>
        <v>1324538.60062474</v>
      </c>
      <c r="L114" s="35" t="n">
        <f aca="false">L113+C114</f>
        <v>780000</v>
      </c>
    </row>
    <row r="115" customFormat="false" ht="15" hidden="false" customHeight="false" outlineLevel="0" collapsed="false">
      <c r="A115" s="33" t="n">
        <v>111</v>
      </c>
      <c r="B115" s="34" t="n">
        <f aca="false">EDATE(B114,1)</f>
        <v>49004</v>
      </c>
      <c r="C115" s="35" t="n">
        <f aca="false">Assumptions!$C$6+(YEAR(B115)-YEAR(Assumptions!$C$4))*Assumptions!$C$7</f>
        <v>12000</v>
      </c>
      <c r="D115" s="36" t="n">
        <f aca="false">Assumptions!$D$23*(1+Assumptions!$F$23)^((B115-Assumptions!$C$4)/365)</f>
        <v>612.172064247297</v>
      </c>
      <c r="E115" s="37" t="n">
        <f aca="false">C115/D115</f>
        <v>19.6023319273066</v>
      </c>
      <c r="F115" s="37" t="n">
        <f aca="false">F114+E115</f>
        <v>2274.53101188636</v>
      </c>
      <c r="G115" s="35" t="n">
        <f aca="false">F115*D115</f>
        <v>1392404.34474097</v>
      </c>
      <c r="H115" s="36" t="n">
        <f aca="false">Assumptions!$D$24*(1+Assumptions!$F$24)^((B115-Assumptions!$C$4)/365)</f>
        <v>503.694439352132</v>
      </c>
      <c r="I115" s="37" t="n">
        <f aca="false">C115/H115</f>
        <v>23.8239675931996</v>
      </c>
      <c r="J115" s="37" t="n">
        <f aca="false">J114+I115</f>
        <v>2680.41120095927</v>
      </c>
      <c r="K115" s="35" t="n">
        <f aca="false">J115*H115</f>
        <v>1350108.21710035</v>
      </c>
      <c r="L115" s="35" t="n">
        <f aca="false">L114+C115</f>
        <v>792000</v>
      </c>
    </row>
    <row r="116" customFormat="false" ht="15" hidden="false" customHeight="false" outlineLevel="0" collapsed="false">
      <c r="A116" s="33" t="n">
        <v>112</v>
      </c>
      <c r="B116" s="34" t="n">
        <f aca="false">EDATE(B115,1)</f>
        <v>49035</v>
      </c>
      <c r="C116" s="35" t="n">
        <f aca="false">Assumptions!$C$6+(YEAR(B116)-YEAR(Assumptions!$C$4))*Assumptions!$C$7</f>
        <v>12000</v>
      </c>
      <c r="D116" s="36" t="n">
        <f aca="false">Assumptions!$D$23*(1+Assumptions!$F$23)^((B116-Assumptions!$C$4)/365)</f>
        <v>619.481963535341</v>
      </c>
      <c r="E116" s="37" t="n">
        <f aca="false">C116/D116</f>
        <v>19.3710240271029</v>
      </c>
      <c r="F116" s="37" t="n">
        <f aca="false">F115+E116</f>
        <v>2293.90203591346</v>
      </c>
      <c r="G116" s="35" t="n">
        <f aca="false">F116*D116</f>
        <v>1421030.93736539</v>
      </c>
      <c r="H116" s="36" t="n">
        <f aca="false">Assumptions!$D$24*(1+Assumptions!$F$24)^((B116-Assumptions!$C$4)/365)</f>
        <v>509.410690971446</v>
      </c>
      <c r="I116" s="37" t="n">
        <f aca="false">C116/H116</f>
        <v>23.5566316386411</v>
      </c>
      <c r="J116" s="37" t="n">
        <f aca="false">J115+I116</f>
        <v>2703.96783259791</v>
      </c>
      <c r="K116" s="35" t="n">
        <f aca="false">J116*H116</f>
        <v>1377430.12196827</v>
      </c>
      <c r="L116" s="35" t="n">
        <f aca="false">L115+C116</f>
        <v>804000</v>
      </c>
    </row>
    <row r="117" customFormat="false" ht="15" hidden="false" customHeight="false" outlineLevel="0" collapsed="false">
      <c r="A117" s="33" t="n">
        <v>113</v>
      </c>
      <c r="B117" s="34" t="n">
        <f aca="false">EDATE(B116,1)</f>
        <v>49065</v>
      </c>
      <c r="C117" s="35" t="n">
        <f aca="false">Assumptions!$C$6+(YEAR(B117)-YEAR(Assumptions!$C$4))*Assumptions!$C$7</f>
        <v>12000</v>
      </c>
      <c r="D117" s="36" t="n">
        <f aca="false">Assumptions!$D$23*(1+Assumptions!$F$23)^((B117-Assumptions!$C$4)/365)</f>
        <v>626.63915777749</v>
      </c>
      <c r="E117" s="37" t="n">
        <f aca="false">C117/D117</f>
        <v>19.1497767910971</v>
      </c>
      <c r="F117" s="37" t="n">
        <f aca="false">F116+E117</f>
        <v>2313.05181270456</v>
      </c>
      <c r="G117" s="35" t="n">
        <f aca="false">F117*D117</f>
        <v>1449448.83980888</v>
      </c>
      <c r="H117" s="36" t="n">
        <f aca="false">Assumptions!$D$24*(1+Assumptions!$F$24)^((B117-Assumptions!$C$4)/365)</f>
        <v>515.004306394943</v>
      </c>
      <c r="I117" s="37" t="n">
        <f aca="false">C117/H117</f>
        <v>23.3007760342834</v>
      </c>
      <c r="J117" s="37" t="n">
        <f aca="false">J116+I117</f>
        <v>2727.2686086322</v>
      </c>
      <c r="K117" s="35" t="n">
        <f aca="false">J117*H117</f>
        <v>1404555.07814132</v>
      </c>
      <c r="L117" s="35" t="n">
        <f aca="false">L116+C117</f>
        <v>816000</v>
      </c>
    </row>
    <row r="118" customFormat="false" ht="15" hidden="false" customHeight="false" outlineLevel="0" collapsed="false">
      <c r="A118" s="33" t="n">
        <v>114</v>
      </c>
      <c r="B118" s="34" t="n">
        <f aca="false">EDATE(B117,1)</f>
        <v>49096</v>
      </c>
      <c r="C118" s="35" t="n">
        <f aca="false">Assumptions!$C$6+(YEAR(B118)-YEAR(Assumptions!$C$4))*Assumptions!$C$7</f>
        <v>12000</v>
      </c>
      <c r="D118" s="36" t="n">
        <f aca="false">Assumptions!$D$23*(1+Assumptions!$F$23)^((B118-Assumptions!$C$4)/365)</f>
        <v>634.12180751083</v>
      </c>
      <c r="E118" s="37" t="n">
        <f aca="false">C118/D118</f>
        <v>18.9238090503536</v>
      </c>
      <c r="F118" s="37" t="n">
        <f aca="false">F117+E118</f>
        <v>2331.97562175491</v>
      </c>
      <c r="G118" s="35" t="n">
        <f aca="false">F118*D118</f>
        <v>1478756.59633842</v>
      </c>
      <c r="H118" s="36" t="n">
        <f aca="false">Assumptions!$D$24*(1+Assumptions!$F$24)^((B118-Assumptions!$C$4)/365)</f>
        <v>520.84890973059</v>
      </c>
      <c r="I118" s="37" t="n">
        <f aca="false">C118/H118</f>
        <v>23.0393109706364</v>
      </c>
      <c r="J118" s="37" t="n">
        <f aca="false">J117+I118</f>
        <v>2750.30791960283</v>
      </c>
      <c r="K118" s="35" t="n">
        <f aca="false">J118*H118</f>
        <v>1432494.88134854</v>
      </c>
      <c r="L118" s="35" t="n">
        <f aca="false">L117+C118</f>
        <v>828000</v>
      </c>
    </row>
    <row r="119" customFormat="false" ht="15" hidden="false" customHeight="false" outlineLevel="0" collapsed="false">
      <c r="A119" s="38" t="n">
        <v>115</v>
      </c>
      <c r="B119" s="39" t="n">
        <f aca="false">EDATE(B118,1)</f>
        <v>49126</v>
      </c>
      <c r="C119" s="40" t="n">
        <f aca="false">Assumptions!$C$6+(YEAR(B119)-YEAR(Assumptions!$C$4))*Assumptions!$C$7</f>
        <v>12000</v>
      </c>
      <c r="D119" s="41" t="n">
        <f aca="false">Assumptions!$D$23*(1+Assumptions!$F$23)^((B119-Assumptions!$C$4)/365)</f>
        <v>641.448143411938</v>
      </c>
      <c r="E119" s="42" t="n">
        <f aca="false">C119/D119</f>
        <v>18.7076697052557</v>
      </c>
      <c r="F119" s="42" t="n">
        <f aca="false">F118+E119</f>
        <v>2350.68329146017</v>
      </c>
      <c r="G119" s="40" t="n">
        <f aca="false">F119*D119</f>
        <v>1507841.43305659</v>
      </c>
      <c r="H119" s="41" t="n">
        <f aca="false">Assumptions!$D$24*(1+Assumptions!$F$24)^((B119-Assumptions!$C$4)/365)</f>
        <v>526.568123218678</v>
      </c>
      <c r="I119" s="42" t="n">
        <f aca="false">C119/H119</f>
        <v>22.7890741403967</v>
      </c>
      <c r="J119" s="42" t="n">
        <f aca="false">J118+I119</f>
        <v>2773.09699374323</v>
      </c>
      <c r="K119" s="40" t="n">
        <f aca="false">J119*H119</f>
        <v>1460224.47949873</v>
      </c>
      <c r="L119" s="40" t="n">
        <f aca="false">L118+C119</f>
        <v>840000</v>
      </c>
    </row>
    <row r="120" customFormat="false" ht="15" hidden="false" customHeight="false" outlineLevel="0" collapsed="false">
      <c r="A120" s="38" t="n">
        <v>116</v>
      </c>
      <c r="B120" s="39" t="n">
        <f aca="false">EDATE(B119,1)</f>
        <v>49157</v>
      </c>
      <c r="C120" s="40" t="n">
        <f aca="false">Assumptions!$C$6+(YEAR(B120)-YEAR(Assumptions!$C$4))*Assumptions!$C$7</f>
        <v>12000</v>
      </c>
      <c r="D120" s="41" t="n">
        <f aca="false">Assumptions!$D$23*(1+Assumptions!$F$23)^((B120-Assumptions!$C$4)/365)</f>
        <v>649.107626097757</v>
      </c>
      <c r="E120" s="42" t="n">
        <f aca="false">C120/D120</f>
        <v>18.4869188367736</v>
      </c>
      <c r="F120" s="42" t="n">
        <f aca="false">F119+E120</f>
        <v>2369.17021029694</v>
      </c>
      <c r="G120" s="40" t="n">
        <f aca="false">F120*D120</f>
        <v>1537846.45102737</v>
      </c>
      <c r="H120" s="41" t="n">
        <f aca="false">Assumptions!$D$24*(1+Assumptions!$F$24)^((B120-Assumptions!$C$4)/365)</f>
        <v>532.543960257697</v>
      </c>
      <c r="I120" s="42" t="n">
        <f aca="false">C120/H120</f>
        <v>22.5333510386508</v>
      </c>
      <c r="J120" s="42" t="n">
        <f aca="false">J119+I120</f>
        <v>2795.63034478188</v>
      </c>
      <c r="K120" s="40" t="n">
        <f aca="false">J120*H120</f>
        <v>1488796.05522673</v>
      </c>
      <c r="L120" s="40" t="n">
        <f aca="false">L119+C120</f>
        <v>852000</v>
      </c>
    </row>
    <row r="121" customFormat="false" ht="15" hidden="false" customHeight="false" outlineLevel="0" collapsed="false">
      <c r="A121" s="38" t="n">
        <v>117</v>
      </c>
      <c r="B121" s="39" t="n">
        <f aca="false">EDATE(B120,1)</f>
        <v>49188</v>
      </c>
      <c r="C121" s="40" t="n">
        <f aca="false">Assumptions!$C$6+(YEAR(B121)-YEAR(Assumptions!$C$4))*Assumptions!$C$7</f>
        <v>12000</v>
      </c>
      <c r="D121" s="41" t="n">
        <f aca="false">Assumptions!$D$23*(1+Assumptions!$F$23)^((B121-Assumptions!$C$4)/365)</f>
        <v>656.858570074121</v>
      </c>
      <c r="E121" s="42" t="n">
        <f aca="false">C121/D121</f>
        <v>18.2687728328579</v>
      </c>
      <c r="F121" s="42" t="n">
        <f aca="false">F120+E121</f>
        <v>2387.4389831298</v>
      </c>
      <c r="G121" s="40" t="n">
        <f aca="false">F121*D121</f>
        <v>1568209.75659785</v>
      </c>
      <c r="H121" s="41" t="n">
        <f aca="false">Assumptions!$D$24*(1+Assumptions!$F$24)^((B121-Assumptions!$C$4)/365)</f>
        <v>538.587614976409</v>
      </c>
      <c r="I121" s="42" t="n">
        <f aca="false">C121/H121</f>
        <v>22.2804974832658</v>
      </c>
      <c r="J121" s="42" t="n">
        <f aca="false">J120+I121</f>
        <v>2817.91084226515</v>
      </c>
      <c r="K121" s="40" t="n">
        <f aca="false">J121*H121</f>
        <v>1517691.87975175</v>
      </c>
      <c r="L121" s="40" t="n">
        <f aca="false">L120+C121</f>
        <v>864000</v>
      </c>
    </row>
    <row r="122" customFormat="false" ht="15" hidden="false" customHeight="false" outlineLevel="0" collapsed="false">
      <c r="A122" s="38" t="n">
        <v>118</v>
      </c>
      <c r="B122" s="39" t="n">
        <f aca="false">EDATE(B121,1)</f>
        <v>49218</v>
      </c>
      <c r="C122" s="40" t="n">
        <f aca="false">Assumptions!$C$6+(YEAR(B122)-YEAR(Assumptions!$C$4))*Assumptions!$C$7</f>
        <v>12000</v>
      </c>
      <c r="D122" s="41" t="n">
        <f aca="false">Assumptions!$D$23*(1+Assumptions!$F$23)^((B122-Assumptions!$C$4)/365)</f>
        <v>664.447595505646</v>
      </c>
      <c r="E122" s="42" t="n">
        <f aca="false">C122/D122</f>
        <v>18.0601150206104</v>
      </c>
      <c r="F122" s="42" t="n">
        <f aca="false">F121+E122</f>
        <v>2405.49909815041</v>
      </c>
      <c r="G122" s="40" t="n">
        <f aca="false">F122*D122</f>
        <v>1598328.09175704</v>
      </c>
      <c r="H122" s="41" t="n">
        <f aca="false">Assumptions!$D$24*(1+Assumptions!$F$24)^((B122-Assumptions!$C$4)/365)</f>
        <v>544.501609408467</v>
      </c>
      <c r="I122" s="42" t="n">
        <f aca="false">C122/H122</f>
        <v>22.0385023527047</v>
      </c>
      <c r="J122" s="42" t="n">
        <f aca="false">J121+I122</f>
        <v>2839.94934461785</v>
      </c>
      <c r="K122" s="40" t="n">
        <f aca="false">J122*H122</f>
        <v>1546356.98878294</v>
      </c>
      <c r="L122" s="40" t="n">
        <f aca="false">L121+C122</f>
        <v>876000</v>
      </c>
    </row>
    <row r="123" customFormat="false" ht="15" hidden="false" customHeight="false" outlineLevel="0" collapsed="false">
      <c r="A123" s="38" t="n">
        <v>119</v>
      </c>
      <c r="B123" s="39" t="n">
        <f aca="false">EDATE(B122,1)</f>
        <v>49249</v>
      </c>
      <c r="C123" s="40" t="n">
        <f aca="false">Assumptions!$C$6+(YEAR(B123)-YEAR(Assumptions!$C$4))*Assumptions!$C$7</f>
        <v>12000</v>
      </c>
      <c r="D123" s="41" t="n">
        <f aca="false">Assumptions!$D$23*(1+Assumptions!$F$23)^((B123-Assumptions!$C$4)/365)</f>
        <v>672.381712870673</v>
      </c>
      <c r="E123" s="42" t="n">
        <f aca="false">C123/D123</f>
        <v>17.8470053100747</v>
      </c>
      <c r="F123" s="42" t="n">
        <f aca="false">F122+E123</f>
        <v>2423.34610346049</v>
      </c>
      <c r="G123" s="40" t="n">
        <f aca="false">F123*D123</f>
        <v>1629413.60392323</v>
      </c>
      <c r="H123" s="41" t="n">
        <f aca="false">Assumptions!$D$24*(1+Assumptions!$F$24)^((B123-Assumptions!$C$4)/365)</f>
        <v>550.68096729557</v>
      </c>
      <c r="I123" s="42" t="n">
        <f aca="false">C123/H123</f>
        <v>21.791201644271</v>
      </c>
      <c r="J123" s="42" t="n">
        <f aca="false">J122+I123</f>
        <v>2861.74054626212</v>
      </c>
      <c r="K123" s="40" t="n">
        <f aca="false">J123*H123</f>
        <v>1575906.05216458</v>
      </c>
      <c r="L123" s="40" t="n">
        <f aca="false">L122+C123</f>
        <v>888000</v>
      </c>
    </row>
    <row r="124" customFormat="false" ht="15" hidden="false" customHeight="false" outlineLevel="0" collapsed="false">
      <c r="A124" s="38" t="n">
        <v>120</v>
      </c>
      <c r="B124" s="39" t="n">
        <f aca="false">EDATE(B123,1)</f>
        <v>49279</v>
      </c>
      <c r="C124" s="40" t="n">
        <f aca="false">Assumptions!$C$6+(YEAR(B124)-YEAR(Assumptions!$C$4))*Assumptions!$C$7</f>
        <v>12000</v>
      </c>
      <c r="D124" s="41" t="n">
        <f aca="false">Assumptions!$D$23*(1+Assumptions!$F$23)^((B124-Assumptions!$C$4)/365)</f>
        <v>680.150085167456</v>
      </c>
      <c r="E124" s="42" t="n">
        <f aca="false">C124/D124</f>
        <v>17.6431647392142</v>
      </c>
      <c r="F124" s="42" t="n">
        <f aca="false">F123+E124</f>
        <v>2440.9892681997</v>
      </c>
      <c r="G124" s="40" t="n">
        <f aca="false">F124*D124</f>
        <v>1660239.05865887</v>
      </c>
      <c r="H124" s="41" t="n">
        <f aca="false">Assumptions!$D$24*(1+Assumptions!$F$24)^((B124-Assumptions!$C$4)/365)</f>
        <v>556.72775352657</v>
      </c>
      <c r="I124" s="42" t="n">
        <f aca="false">C124/H124</f>
        <v>21.5545209017989</v>
      </c>
      <c r="J124" s="42" t="n">
        <f aca="false">J123+I124</f>
        <v>2883.29506716392</v>
      </c>
      <c r="K124" s="40" t="n">
        <f aca="false">J124*H124</f>
        <v>1605210.38549641</v>
      </c>
      <c r="L124" s="40" t="n">
        <f aca="false">L123+C124</f>
        <v>900000</v>
      </c>
    </row>
    <row r="126" customFormat="false" ht="15" hidden="false" customHeight="false" outlineLevel="0" collapsed="false">
      <c r="B126" s="43" t="s">
        <v>126</v>
      </c>
      <c r="G126" s="44" t="n">
        <f aca="false">G124</f>
        <v>1660239.05865887</v>
      </c>
      <c r="K126" s="44" t="n">
        <f aca="false">K124</f>
        <v>1605210.38549641</v>
      </c>
      <c r="L126" s="44" t="n">
        <f aca="false">L124</f>
        <v>900000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76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1" outlineLevelCol="0"/>
  <cols>
    <col collapsed="false" customWidth="true" hidden="false" outlineLevel="0" max="2" min="1" style="1" width="12"/>
    <col collapsed="false" customWidth="true" hidden="false" outlineLevel="0" max="3" min="3" style="1" width="11"/>
    <col collapsed="false" customWidth="true" hidden="false" outlineLevel="0" max="4" min="4" style="1" width="13"/>
    <col collapsed="false" customWidth="true" hidden="false" outlineLevel="0" max="6" min="5" style="1" width="10"/>
    <col collapsed="false" customWidth="true" hidden="false" outlineLevel="0" max="7" min="7" style="1" width="14"/>
    <col collapsed="false" customWidth="true" hidden="false" outlineLevel="0" max="8" min="8" style="1" width="12"/>
    <col collapsed="false" customWidth="true" hidden="false" outlineLevel="0" max="9" min="9" style="1" width="9"/>
    <col collapsed="false" customWidth="true" hidden="false" outlineLevel="0" max="10" min="10" style="1" width="11"/>
    <col collapsed="false" customWidth="true" hidden="false" outlineLevel="0" max="12" min="11" style="1" width="12"/>
    <col collapsed="false" customWidth="true" hidden="false" outlineLevel="0" max="14" min="13" style="1" width="8"/>
    <col collapsed="false" customWidth="true" hidden="false" outlineLevel="0" max="15" min="15" style="1" width="12"/>
  </cols>
  <sheetData>
    <row r="1" customFormat="false" ht="19.7" hidden="false" customHeight="false" outlineLevel="0" collapsed="false">
      <c r="A1" s="2" t="s">
        <v>129</v>
      </c>
    </row>
    <row r="2" customFormat="false" ht="15" hidden="false" customHeight="false" outlineLevel="0" collapsed="false">
      <c r="A2" s="3" t="s">
        <v>130</v>
      </c>
    </row>
    <row r="4" customFormat="false" ht="16.15" hidden="false" customHeight="false" outlineLevel="0" collapsed="false">
      <c r="A4" s="45" t="s">
        <v>53</v>
      </c>
      <c r="B4" s="45"/>
      <c r="C4" s="45"/>
      <c r="D4" s="45"/>
      <c r="E4" s="45"/>
      <c r="F4" s="45"/>
      <c r="G4" s="45"/>
      <c r="H4" s="45"/>
      <c r="I4" s="45"/>
      <c r="J4" s="45"/>
      <c r="K4" s="45"/>
      <c r="L4" s="45"/>
      <c r="M4" s="45"/>
      <c r="N4" s="45"/>
      <c r="O4" s="45"/>
    </row>
    <row r="5" customFormat="false" ht="15" hidden="false" customHeight="false" outlineLevel="0" collapsed="false">
      <c r="A5" s="5" t="s">
        <v>131</v>
      </c>
    </row>
    <row r="6" customFormat="false" ht="25.5" hidden="false" customHeight="true" outlineLevel="0" collapsed="false">
      <c r="A6" s="46" t="s">
        <v>132</v>
      </c>
      <c r="B6" s="46" t="s">
        <v>133</v>
      </c>
      <c r="C6" s="46" t="s">
        <v>134</v>
      </c>
      <c r="D6" s="46" t="s">
        <v>135</v>
      </c>
      <c r="E6" s="46" t="s">
        <v>136</v>
      </c>
      <c r="F6" s="46" t="s">
        <v>137</v>
      </c>
      <c r="G6" s="46" t="s">
        <v>138</v>
      </c>
      <c r="H6" s="46" t="s">
        <v>139</v>
      </c>
      <c r="I6" s="46" t="s">
        <v>140</v>
      </c>
      <c r="J6" s="46" t="s">
        <v>141</v>
      </c>
      <c r="K6" s="46" t="s">
        <v>142</v>
      </c>
      <c r="L6" s="46" t="s">
        <v>143</v>
      </c>
      <c r="M6" s="46" t="s">
        <v>144</v>
      </c>
      <c r="N6" s="46" t="s">
        <v>145</v>
      </c>
      <c r="O6" s="46" t="s">
        <v>146</v>
      </c>
    </row>
    <row r="7" customFormat="false" ht="15" hidden="false" customHeight="false" outlineLevel="1" collapsed="false">
      <c r="A7" s="33" t="str">
        <f aca="false">TEXT(SIP_Fund1_PPFAS!B5,"mmm-yyyy")</f>
        <v>Jan-2025</v>
      </c>
      <c r="B7" s="34" t="n">
        <f aca="false">SIP_Fund1_PPFAS!B5</f>
        <v>45658</v>
      </c>
      <c r="C7" s="35" t="n">
        <f aca="false">SIP_Fund1_PPFAS!C5</f>
        <v>3000</v>
      </c>
      <c r="D7" s="36" t="n">
        <f aca="false">SIP_Fund1_PPFAS!D5</f>
        <v>75</v>
      </c>
      <c r="E7" s="37" t="n">
        <f aca="false">SIP_Fund1_PPFAS!E5</f>
        <v>40</v>
      </c>
      <c r="F7" s="33" t="n">
        <f aca="false">Assumptions!$C$5-B7</f>
        <v>4031</v>
      </c>
      <c r="G7" s="36" t="n">
        <f aca="false">Assumptions!$D$19*(1+Assumptions!$F$19)^((Assumptions!$C$5-Assumptions!$C$4)/365)</f>
        <v>262.190538254849</v>
      </c>
      <c r="H7" s="35" t="n">
        <f aca="false">E7*G7</f>
        <v>10487.621530194</v>
      </c>
      <c r="I7" s="47" t="n">
        <f aca="false">IF(F7&lt;365,Assumptions!$G$19,IF(F7&lt;=730,Assumptions!$H$19,Assumptions!$I$19))</f>
        <v>0</v>
      </c>
      <c r="J7" s="35" t="n">
        <f aca="false">H7*I7</f>
        <v>0</v>
      </c>
      <c r="K7" s="35" t="n">
        <f aca="false">H7-J7</f>
        <v>10487.621530194</v>
      </c>
      <c r="L7" s="35" t="n">
        <f aca="false">K7-C7</f>
        <v>7487.62153019396</v>
      </c>
      <c r="M7" s="33" t="str">
        <f aca="false">IF(F7&gt;365,"LTCG","STCG")</f>
        <v>LTCG</v>
      </c>
      <c r="N7" s="47" t="n">
        <f aca="false">IF(M7="LTCG",Assumptions!$C$12,Assumptions!$C$11)</f>
        <v>0.125</v>
      </c>
      <c r="O7" s="33" t="str">
        <f aca="false">IF(M7="STCG",MAX(L7,0)*Assumptions!$C$11,"agg. below")</f>
        <v>agg. below</v>
      </c>
    </row>
    <row r="8" customFormat="false" ht="15" hidden="false" customHeight="false" outlineLevel="1" collapsed="false">
      <c r="A8" s="38" t="str">
        <f aca="false">TEXT(SIP_Fund1_PPFAS!B6,"mmm-yyyy")</f>
        <v>Feb-2025</v>
      </c>
      <c r="B8" s="39" t="n">
        <f aca="false">SIP_Fund1_PPFAS!B6</f>
        <v>45689</v>
      </c>
      <c r="C8" s="40" t="n">
        <f aca="false">SIP_Fund1_PPFAS!C6</f>
        <v>3000</v>
      </c>
      <c r="D8" s="41" t="n">
        <f aca="false">SIP_Fund1_PPFAS!D6</f>
        <v>75.7253735247358</v>
      </c>
      <c r="E8" s="42" t="n">
        <f aca="false">SIP_Fund1_PPFAS!E6</f>
        <v>39.6168399092815</v>
      </c>
      <c r="F8" s="38" t="n">
        <f aca="false">Assumptions!$C$5-B8</f>
        <v>4000</v>
      </c>
      <c r="G8" s="41" t="n">
        <f aca="false">Assumptions!$D$19*(1+Assumptions!$F$19)^((Assumptions!$C$5-Assumptions!$C$4)/365)</f>
        <v>262.190538254849</v>
      </c>
      <c r="H8" s="40" t="n">
        <f aca="false">E8*G8</f>
        <v>10387.1605797707</v>
      </c>
      <c r="I8" s="48" t="n">
        <f aca="false">IF(F8&lt;365,Assumptions!$G$19,IF(F8&lt;=730,Assumptions!$H$19,Assumptions!$I$19))</f>
        <v>0</v>
      </c>
      <c r="J8" s="40" t="n">
        <f aca="false">H8*I8</f>
        <v>0</v>
      </c>
      <c r="K8" s="40" t="n">
        <f aca="false">H8-J8</f>
        <v>10387.1605797707</v>
      </c>
      <c r="L8" s="40" t="n">
        <f aca="false">K8-C8</f>
        <v>7387.1605797707</v>
      </c>
      <c r="M8" s="38" t="str">
        <f aca="false">IF(F8&gt;365,"LTCG","STCG")</f>
        <v>LTCG</v>
      </c>
      <c r="N8" s="48" t="n">
        <f aca="false">IF(M8="LTCG",Assumptions!$C$12,Assumptions!$C$11)</f>
        <v>0.125</v>
      </c>
      <c r="O8" s="38" t="str">
        <f aca="false">IF(M8="STCG",MAX(L8,0)*Assumptions!$C$11,"agg. below")</f>
        <v>agg. below</v>
      </c>
    </row>
    <row r="9" customFormat="false" ht="15" hidden="false" customHeight="false" outlineLevel="1" collapsed="false">
      <c r="A9" s="33" t="str">
        <f aca="false">TEXT(SIP_Fund1_PPFAS!B7,"mmm-yyyy")</f>
        <v>Mar-2025</v>
      </c>
      <c r="B9" s="34" t="n">
        <f aca="false">SIP_Fund1_PPFAS!B7</f>
        <v>45717</v>
      </c>
      <c r="C9" s="35" t="n">
        <f aca="false">SIP_Fund1_PPFAS!C7</f>
        <v>3000</v>
      </c>
      <c r="D9" s="36" t="n">
        <f aca="false">SIP_Fund1_PPFAS!D7</f>
        <v>76.3865777558799</v>
      </c>
      <c r="E9" s="37" t="n">
        <f aca="false">SIP_Fund1_PPFAS!E7</f>
        <v>39.2739154984473</v>
      </c>
      <c r="F9" s="33" t="n">
        <f aca="false">Assumptions!$C$5-B9</f>
        <v>3972</v>
      </c>
      <c r="G9" s="36" t="n">
        <f aca="false">Assumptions!$D$19*(1+Assumptions!$F$19)^((Assumptions!$C$5-Assumptions!$C$4)/365)</f>
        <v>262.190538254849</v>
      </c>
      <c r="H9" s="35" t="n">
        <f aca="false">E9*G9</f>
        <v>10297.2490439133</v>
      </c>
      <c r="I9" s="47" t="n">
        <f aca="false">IF(F9&lt;365,Assumptions!$G$19,IF(F9&lt;=730,Assumptions!$H$19,Assumptions!$I$19))</f>
        <v>0</v>
      </c>
      <c r="J9" s="35" t="n">
        <f aca="false">H9*I9</f>
        <v>0</v>
      </c>
      <c r="K9" s="35" t="n">
        <f aca="false">H9-J9</f>
        <v>10297.2490439133</v>
      </c>
      <c r="L9" s="35" t="n">
        <f aca="false">K9-C9</f>
        <v>7297.24904391335</v>
      </c>
      <c r="M9" s="33" t="str">
        <f aca="false">IF(F9&gt;365,"LTCG","STCG")</f>
        <v>LTCG</v>
      </c>
      <c r="N9" s="47" t="n">
        <f aca="false">IF(M9="LTCG",Assumptions!$C$12,Assumptions!$C$11)</f>
        <v>0.125</v>
      </c>
      <c r="O9" s="33" t="str">
        <f aca="false">IF(M9="STCG",MAX(L9,0)*Assumptions!$C$11,"agg. below")</f>
        <v>agg. below</v>
      </c>
    </row>
    <row r="10" customFormat="false" ht="15" hidden="false" customHeight="false" outlineLevel="1" collapsed="false">
      <c r="A10" s="38" t="str">
        <f aca="false">TEXT(SIP_Fund1_PPFAS!B8,"mmm-yyyy")</f>
        <v>Apr-2025</v>
      </c>
      <c r="B10" s="39" t="n">
        <f aca="false">SIP_Fund1_PPFAS!B8</f>
        <v>45748</v>
      </c>
      <c r="C10" s="40" t="n">
        <f aca="false">SIP_Fund1_PPFAS!C8</f>
        <v>3000</v>
      </c>
      <c r="D10" s="41" t="n">
        <f aca="false">SIP_Fund1_PPFAS!D8</f>
        <v>77.1253617712037</v>
      </c>
      <c r="E10" s="42" t="n">
        <f aca="false">SIP_Fund1_PPFAS!E8</f>
        <v>38.8977105728159</v>
      </c>
      <c r="F10" s="38" t="n">
        <f aca="false">Assumptions!$C$5-B10</f>
        <v>3941</v>
      </c>
      <c r="G10" s="41" t="n">
        <f aca="false">Assumptions!$D$19*(1+Assumptions!$F$19)^((Assumptions!$C$5-Assumptions!$C$4)/365)</f>
        <v>262.190538254849</v>
      </c>
      <c r="H10" s="40" t="n">
        <f aca="false">E10*G10</f>
        <v>10198.6116719679</v>
      </c>
      <c r="I10" s="48" t="n">
        <f aca="false">IF(F10&lt;365,Assumptions!$G$19,IF(F10&lt;=730,Assumptions!$H$19,Assumptions!$I$19))</f>
        <v>0</v>
      </c>
      <c r="J10" s="40" t="n">
        <f aca="false">H10*I10</f>
        <v>0</v>
      </c>
      <c r="K10" s="40" t="n">
        <f aca="false">H10-J10</f>
        <v>10198.6116719679</v>
      </c>
      <c r="L10" s="40" t="n">
        <f aca="false">K10-C10</f>
        <v>7198.61167196793</v>
      </c>
      <c r="M10" s="38" t="str">
        <f aca="false">IF(F10&gt;365,"LTCG","STCG")</f>
        <v>LTCG</v>
      </c>
      <c r="N10" s="48" t="n">
        <f aca="false">IF(M10="LTCG",Assumptions!$C$12,Assumptions!$C$11)</f>
        <v>0.125</v>
      </c>
      <c r="O10" s="38" t="str">
        <f aca="false">IF(M10="STCG",MAX(L10,0)*Assumptions!$C$11,"agg. below")</f>
        <v>agg. below</v>
      </c>
    </row>
    <row r="11" customFormat="false" ht="15" hidden="false" customHeight="false" outlineLevel="1" collapsed="false">
      <c r="A11" s="33" t="str">
        <f aca="false">TEXT(SIP_Fund1_PPFAS!B9,"mmm-yyyy")</f>
        <v>May-2025</v>
      </c>
      <c r="B11" s="34" t="n">
        <f aca="false">SIP_Fund1_PPFAS!B9</f>
        <v>45778</v>
      </c>
      <c r="C11" s="35" t="n">
        <f aca="false">SIP_Fund1_PPFAS!C9</f>
        <v>3000</v>
      </c>
      <c r="D11" s="36" t="n">
        <f aca="false">SIP_Fund1_PPFAS!D9</f>
        <v>77.8471165758647</v>
      </c>
      <c r="E11" s="37" t="n">
        <f aca="false">SIP_Fund1_PPFAS!E9</f>
        <v>38.5370728160034</v>
      </c>
      <c r="F11" s="33" t="n">
        <f aca="false">Assumptions!$C$5-B11</f>
        <v>3911</v>
      </c>
      <c r="G11" s="36" t="n">
        <f aca="false">Assumptions!$D$19*(1+Assumptions!$F$19)^((Assumptions!$C$5-Assumptions!$C$4)/365)</f>
        <v>262.190538254849</v>
      </c>
      <c r="H11" s="35" t="n">
        <f aca="false">E11*G11</f>
        <v>10104.0558643942</v>
      </c>
      <c r="I11" s="47" t="n">
        <f aca="false">IF(F11&lt;365,Assumptions!$G$19,IF(F11&lt;=730,Assumptions!$H$19,Assumptions!$I$19))</f>
        <v>0</v>
      </c>
      <c r="J11" s="35" t="n">
        <f aca="false">H11*I11</f>
        <v>0</v>
      </c>
      <c r="K11" s="35" t="n">
        <f aca="false">H11-J11</f>
        <v>10104.0558643942</v>
      </c>
      <c r="L11" s="35" t="n">
        <f aca="false">K11-C11</f>
        <v>7104.05586439424</v>
      </c>
      <c r="M11" s="33" t="str">
        <f aca="false">IF(F11&gt;365,"LTCG","STCG")</f>
        <v>LTCG</v>
      </c>
      <c r="N11" s="47" t="n">
        <f aca="false">IF(M11="LTCG",Assumptions!$C$12,Assumptions!$C$11)</f>
        <v>0.125</v>
      </c>
      <c r="O11" s="33" t="str">
        <f aca="false">IF(M11="STCG",MAX(L11,0)*Assumptions!$C$11,"agg. below")</f>
        <v>agg. below</v>
      </c>
    </row>
    <row r="12" customFormat="false" ht="15" hidden="false" customHeight="false" outlineLevel="1" collapsed="false">
      <c r="A12" s="38" t="str">
        <f aca="false">TEXT(SIP_Fund1_PPFAS!B10,"mmm-yyyy")</f>
        <v>Jun-2025</v>
      </c>
      <c r="B12" s="39" t="n">
        <f aca="false">SIP_Fund1_PPFAS!B10</f>
        <v>45809</v>
      </c>
      <c r="C12" s="40" t="n">
        <f aca="false">SIP_Fund1_PPFAS!C10</f>
        <v>3000</v>
      </c>
      <c r="D12" s="41" t="n">
        <f aca="false">SIP_Fund1_PPFAS!D10</f>
        <v>78.60002640708</v>
      </c>
      <c r="E12" s="42" t="n">
        <f aca="false">SIP_Fund1_PPFAS!E10</f>
        <v>38.1679261080982</v>
      </c>
      <c r="F12" s="38" t="n">
        <f aca="false">Assumptions!$C$5-B12</f>
        <v>3880</v>
      </c>
      <c r="G12" s="41" t="n">
        <f aca="false">Assumptions!$D$19*(1+Assumptions!$F$19)^((Assumptions!$C$5-Assumptions!$C$4)/365)</f>
        <v>262.190538254849</v>
      </c>
      <c r="H12" s="40" t="n">
        <f aca="false">E12*G12</f>
        <v>10007.2690903536</v>
      </c>
      <c r="I12" s="48" t="n">
        <f aca="false">IF(F12&lt;365,Assumptions!$G$19,IF(F12&lt;=730,Assumptions!$H$19,Assumptions!$I$19))</f>
        <v>0</v>
      </c>
      <c r="J12" s="40" t="n">
        <f aca="false">H12*I12</f>
        <v>0</v>
      </c>
      <c r="K12" s="40" t="n">
        <f aca="false">H12-J12</f>
        <v>10007.2690903536</v>
      </c>
      <c r="L12" s="40" t="n">
        <f aca="false">K12-C12</f>
        <v>7007.26909035358</v>
      </c>
      <c r="M12" s="38" t="str">
        <f aca="false">IF(F12&gt;365,"LTCG","STCG")</f>
        <v>LTCG</v>
      </c>
      <c r="N12" s="48" t="n">
        <f aca="false">IF(M12="LTCG",Assumptions!$C$12,Assumptions!$C$11)</f>
        <v>0.125</v>
      </c>
      <c r="O12" s="38" t="str">
        <f aca="false">IF(M12="STCG",MAX(L12,0)*Assumptions!$C$11,"agg. below")</f>
        <v>agg. below</v>
      </c>
    </row>
    <row r="13" customFormat="false" ht="15" hidden="false" customHeight="false" outlineLevel="1" collapsed="false">
      <c r="A13" s="33" t="str">
        <f aca="false">TEXT(SIP_Fund1_PPFAS!B11,"mmm-yyyy")</f>
        <v>Jul-2025</v>
      </c>
      <c r="B13" s="34" t="n">
        <f aca="false">SIP_Fund1_PPFAS!B11</f>
        <v>45839</v>
      </c>
      <c r="C13" s="35" t="n">
        <f aca="false">SIP_Fund1_PPFAS!C11</f>
        <v>3000</v>
      </c>
      <c r="D13" s="36" t="n">
        <f aca="false">SIP_Fund1_PPFAS!D11</f>
        <v>79.3355814230043</v>
      </c>
      <c r="E13" s="37" t="n">
        <f aca="false">SIP_Fund1_PPFAS!E11</f>
        <v>37.814054503546</v>
      </c>
      <c r="F13" s="33" t="n">
        <f aca="false">Assumptions!$C$5-B13</f>
        <v>3850</v>
      </c>
      <c r="G13" s="36" t="n">
        <f aca="false">Assumptions!$D$19*(1+Assumptions!$F$19)^((Assumptions!$C$5-Assumptions!$C$4)/365)</f>
        <v>262.190538254849</v>
      </c>
      <c r="H13" s="35" t="n">
        <f aca="false">E13*G13</f>
        <v>9914.48730388294</v>
      </c>
      <c r="I13" s="47" t="n">
        <f aca="false">IF(F13&lt;365,Assumptions!$G$19,IF(F13&lt;=730,Assumptions!$H$19,Assumptions!$I$19))</f>
        <v>0</v>
      </c>
      <c r="J13" s="35" t="n">
        <f aca="false">H13*I13</f>
        <v>0</v>
      </c>
      <c r="K13" s="35" t="n">
        <f aca="false">H13-J13</f>
        <v>9914.48730388294</v>
      </c>
      <c r="L13" s="35" t="n">
        <f aca="false">K13-C13</f>
        <v>6914.48730388294</v>
      </c>
      <c r="M13" s="33" t="str">
        <f aca="false">IF(F13&gt;365,"LTCG","STCG")</f>
        <v>LTCG</v>
      </c>
      <c r="N13" s="47" t="n">
        <f aca="false">IF(M13="LTCG",Assumptions!$C$12,Assumptions!$C$11)</f>
        <v>0.125</v>
      </c>
      <c r="O13" s="33" t="str">
        <f aca="false">IF(M13="STCG",MAX(L13,0)*Assumptions!$C$11,"agg. below")</f>
        <v>agg. below</v>
      </c>
    </row>
    <row r="14" customFormat="false" ht="15" hidden="false" customHeight="false" outlineLevel="1" collapsed="false">
      <c r="A14" s="38" t="str">
        <f aca="false">TEXT(SIP_Fund1_PPFAS!B12,"mmm-yyyy")</f>
        <v>Aug-2025</v>
      </c>
      <c r="B14" s="39" t="n">
        <f aca="false">SIP_Fund1_PPFAS!B12</f>
        <v>45870</v>
      </c>
      <c r="C14" s="40" t="n">
        <f aca="false">SIP_Fund1_PPFAS!C12</f>
        <v>3000</v>
      </c>
      <c r="D14" s="41" t="n">
        <f aca="false">SIP_Fund1_PPFAS!D12</f>
        <v>80.1028871607879</v>
      </c>
      <c r="E14" s="42" t="n">
        <f aca="false">SIP_Fund1_PPFAS!E12</f>
        <v>37.4518335896957</v>
      </c>
      <c r="F14" s="38" t="n">
        <f aca="false">Assumptions!$C$5-B14</f>
        <v>3819</v>
      </c>
      <c r="G14" s="41" t="n">
        <f aca="false">Assumptions!$D$19*(1+Assumptions!$F$19)^((Assumptions!$C$5-Assumptions!$C$4)/365)</f>
        <v>262.190538254849</v>
      </c>
      <c r="H14" s="40" t="n">
        <f aca="false">E14*G14</f>
        <v>9819.51640751335</v>
      </c>
      <c r="I14" s="48" t="n">
        <f aca="false">IF(F14&lt;365,Assumptions!$G$19,IF(F14&lt;=730,Assumptions!$H$19,Assumptions!$I$19))</f>
        <v>0</v>
      </c>
      <c r="J14" s="40" t="n">
        <f aca="false">H14*I14</f>
        <v>0</v>
      </c>
      <c r="K14" s="40" t="n">
        <f aca="false">H14-J14</f>
        <v>9819.51640751335</v>
      </c>
      <c r="L14" s="40" t="n">
        <f aca="false">K14-C14</f>
        <v>6819.51640751335</v>
      </c>
      <c r="M14" s="38" t="str">
        <f aca="false">IF(F14&gt;365,"LTCG","STCG")</f>
        <v>LTCG</v>
      </c>
      <c r="N14" s="48" t="n">
        <f aca="false">IF(M14="LTCG",Assumptions!$C$12,Assumptions!$C$11)</f>
        <v>0.125</v>
      </c>
      <c r="O14" s="38" t="str">
        <f aca="false">IF(M14="STCG",MAX(L14,0)*Assumptions!$C$11,"agg. below")</f>
        <v>agg. below</v>
      </c>
    </row>
    <row r="15" customFormat="false" ht="15" hidden="false" customHeight="false" outlineLevel="1" collapsed="false">
      <c r="A15" s="33" t="str">
        <f aca="false">TEXT(SIP_Fund1_PPFAS!B13,"mmm-yyyy")</f>
        <v>Sep-2025</v>
      </c>
      <c r="B15" s="34" t="n">
        <f aca="false">SIP_Fund1_PPFAS!B13</f>
        <v>45901</v>
      </c>
      <c r="C15" s="35" t="n">
        <f aca="false">SIP_Fund1_PPFAS!C13</f>
        <v>3000</v>
      </c>
      <c r="D15" s="36" t="n">
        <f aca="false">SIP_Fund1_PPFAS!D13</f>
        <v>80.8776140088056</v>
      </c>
      <c r="E15" s="37" t="n">
        <f aca="false">SIP_Fund1_PPFAS!E13</f>
        <v>37.0930823908007</v>
      </c>
      <c r="F15" s="33" t="n">
        <f aca="false">Assumptions!$C$5-B15</f>
        <v>3788</v>
      </c>
      <c r="G15" s="36" t="n">
        <f aca="false">Assumptions!$D$19*(1+Assumptions!$F$19)^((Assumptions!$C$5-Assumptions!$C$4)/365)</f>
        <v>262.190538254849</v>
      </c>
      <c r="H15" s="35" t="n">
        <f aca="false">E15*G15</f>
        <v>9725.45523757549</v>
      </c>
      <c r="I15" s="47" t="n">
        <f aca="false">IF(F15&lt;365,Assumptions!$G$19,IF(F15&lt;=730,Assumptions!$H$19,Assumptions!$I$19))</f>
        <v>0</v>
      </c>
      <c r="J15" s="35" t="n">
        <f aca="false">H15*I15</f>
        <v>0</v>
      </c>
      <c r="K15" s="35" t="n">
        <f aca="false">H15-J15</f>
        <v>9725.45523757549</v>
      </c>
      <c r="L15" s="35" t="n">
        <f aca="false">K15-C15</f>
        <v>6725.45523757549</v>
      </c>
      <c r="M15" s="33" t="str">
        <f aca="false">IF(F15&gt;365,"LTCG","STCG")</f>
        <v>LTCG</v>
      </c>
      <c r="N15" s="47" t="n">
        <f aca="false">IF(M15="LTCG",Assumptions!$C$12,Assumptions!$C$11)</f>
        <v>0.125</v>
      </c>
      <c r="O15" s="33" t="str">
        <f aca="false">IF(M15="STCG",MAX(L15,0)*Assumptions!$C$11,"agg. below")</f>
        <v>agg. below</v>
      </c>
    </row>
    <row r="16" customFormat="false" ht="15" hidden="false" customHeight="false" outlineLevel="1" collapsed="false">
      <c r="A16" s="38" t="str">
        <f aca="false">TEXT(SIP_Fund1_PPFAS!B14,"mmm-yyyy")</f>
        <v>Oct-2025</v>
      </c>
      <c r="B16" s="39" t="n">
        <f aca="false">SIP_Fund1_PPFAS!B14</f>
        <v>45931</v>
      </c>
      <c r="C16" s="40" t="n">
        <f aca="false">SIP_Fund1_PPFAS!C14</f>
        <v>3000</v>
      </c>
      <c r="D16" s="41" t="n">
        <f aca="false">SIP_Fund1_PPFAS!D14</f>
        <v>81.6344831522339</v>
      </c>
      <c r="E16" s="42" t="n">
        <f aca="false">SIP_Fund1_PPFAS!E14</f>
        <v>36.7491761343736</v>
      </c>
      <c r="F16" s="38" t="n">
        <f aca="false">Assumptions!$C$5-B16</f>
        <v>3758</v>
      </c>
      <c r="G16" s="41" t="n">
        <f aca="false">Assumptions!$D$19*(1+Assumptions!$F$19)^((Assumptions!$C$5-Assumptions!$C$4)/365)</f>
        <v>262.190538254849</v>
      </c>
      <c r="H16" s="40" t="n">
        <f aca="false">E16*G16</f>
        <v>9635.28627109367</v>
      </c>
      <c r="I16" s="48" t="n">
        <f aca="false">IF(F16&lt;365,Assumptions!$G$19,IF(F16&lt;=730,Assumptions!$H$19,Assumptions!$I$19))</f>
        <v>0</v>
      </c>
      <c r="J16" s="40" t="n">
        <f aca="false">H16*I16</f>
        <v>0</v>
      </c>
      <c r="K16" s="40" t="n">
        <f aca="false">H16-J16</f>
        <v>9635.28627109367</v>
      </c>
      <c r="L16" s="40" t="n">
        <f aca="false">K16-C16</f>
        <v>6635.28627109367</v>
      </c>
      <c r="M16" s="38" t="str">
        <f aca="false">IF(F16&gt;365,"LTCG","STCG")</f>
        <v>LTCG</v>
      </c>
      <c r="N16" s="48" t="n">
        <f aca="false">IF(M16="LTCG",Assumptions!$C$12,Assumptions!$C$11)</f>
        <v>0.125</v>
      </c>
      <c r="O16" s="38" t="str">
        <f aca="false">IF(M16="STCG",MAX(L16,0)*Assumptions!$C$11,"agg. below")</f>
        <v>agg. below</v>
      </c>
    </row>
    <row r="17" customFormat="false" ht="15" hidden="false" customHeight="false" outlineLevel="1" collapsed="false">
      <c r="A17" s="33" t="str">
        <f aca="false">TEXT(SIP_Fund1_PPFAS!B15,"mmm-yyyy")</f>
        <v>Nov-2025</v>
      </c>
      <c r="B17" s="34" t="n">
        <f aca="false">SIP_Fund1_PPFAS!B15</f>
        <v>45962</v>
      </c>
      <c r="C17" s="35" t="n">
        <f aca="false">SIP_Fund1_PPFAS!C15</f>
        <v>3000</v>
      </c>
      <c r="D17" s="36" t="n">
        <f aca="false">SIP_Fund1_PPFAS!D15</f>
        <v>82.4240230560222</v>
      </c>
      <c r="E17" s="37" t="n">
        <f aca="false">SIP_Fund1_PPFAS!E15</f>
        <v>36.3971556928367</v>
      </c>
      <c r="F17" s="33" t="n">
        <f aca="false">Assumptions!$C$5-B17</f>
        <v>3727</v>
      </c>
      <c r="G17" s="36" t="n">
        <f aca="false">Assumptions!$D$19*(1+Assumptions!$F$19)^((Assumptions!$C$5-Assumptions!$C$4)/365)</f>
        <v>262.190538254849</v>
      </c>
      <c r="H17" s="35" t="n">
        <f aca="false">E17*G17</f>
        <v>9542.9898420504</v>
      </c>
      <c r="I17" s="47" t="n">
        <f aca="false">IF(F17&lt;365,Assumptions!$G$19,IF(F17&lt;=730,Assumptions!$H$19,Assumptions!$I$19))</f>
        <v>0</v>
      </c>
      <c r="J17" s="35" t="n">
        <f aca="false">H17*I17</f>
        <v>0</v>
      </c>
      <c r="K17" s="35" t="n">
        <f aca="false">H17-J17</f>
        <v>9542.9898420504</v>
      </c>
      <c r="L17" s="35" t="n">
        <f aca="false">K17-C17</f>
        <v>6542.9898420504</v>
      </c>
      <c r="M17" s="33" t="str">
        <f aca="false">IF(F17&gt;365,"LTCG","STCG")</f>
        <v>LTCG</v>
      </c>
      <c r="N17" s="47" t="n">
        <f aca="false">IF(M17="LTCG",Assumptions!$C$12,Assumptions!$C$11)</f>
        <v>0.125</v>
      </c>
      <c r="O17" s="33" t="str">
        <f aca="false">IF(M17="STCG",MAX(L17,0)*Assumptions!$C$11,"agg. below")</f>
        <v>agg. below</v>
      </c>
    </row>
    <row r="18" customFormat="false" ht="15" hidden="false" customHeight="false" outlineLevel="1" collapsed="false">
      <c r="A18" s="38" t="str">
        <f aca="false">TEXT(SIP_Fund1_PPFAS!B16,"mmm-yyyy")</f>
        <v>Dec-2025</v>
      </c>
      <c r="B18" s="39" t="n">
        <f aca="false">SIP_Fund1_PPFAS!B16</f>
        <v>45992</v>
      </c>
      <c r="C18" s="40" t="n">
        <f aca="false">SIP_Fund1_PPFAS!C16</f>
        <v>3000</v>
      </c>
      <c r="D18" s="41" t="n">
        <f aca="false">SIP_Fund1_PPFAS!D16</f>
        <v>83.1953638094911</v>
      </c>
      <c r="E18" s="42" t="n">
        <f aca="false">SIP_Fund1_PPFAS!E16</f>
        <v>36.0597016784456</v>
      </c>
      <c r="F18" s="38" t="n">
        <f aca="false">Assumptions!$C$5-B18</f>
        <v>3697</v>
      </c>
      <c r="G18" s="41" t="n">
        <f aca="false">Assumptions!$D$19*(1+Assumptions!$F$19)^((Assumptions!$C$5-Assumptions!$C$4)/365)</f>
        <v>262.190538254849</v>
      </c>
      <c r="H18" s="40" t="n">
        <f aca="false">E18*G18</f>
        <v>9454.51259238094</v>
      </c>
      <c r="I18" s="48" t="n">
        <f aca="false">IF(F18&lt;365,Assumptions!$G$19,IF(F18&lt;=730,Assumptions!$H$19,Assumptions!$I$19))</f>
        <v>0</v>
      </c>
      <c r="J18" s="40" t="n">
        <f aca="false">H18*I18</f>
        <v>0</v>
      </c>
      <c r="K18" s="40" t="n">
        <f aca="false">H18-J18</f>
        <v>9454.51259238094</v>
      </c>
      <c r="L18" s="40" t="n">
        <f aca="false">K18-C18</f>
        <v>6454.51259238094</v>
      </c>
      <c r="M18" s="38" t="str">
        <f aca="false">IF(F18&gt;365,"LTCG","STCG")</f>
        <v>LTCG</v>
      </c>
      <c r="N18" s="48" t="n">
        <f aca="false">IF(M18="LTCG",Assumptions!$C$12,Assumptions!$C$11)</f>
        <v>0.125</v>
      </c>
      <c r="O18" s="38" t="str">
        <f aca="false">IF(M18="STCG",MAX(L18,0)*Assumptions!$C$11,"agg. below")</f>
        <v>agg. below</v>
      </c>
    </row>
    <row r="19" customFormat="false" ht="15" hidden="false" customHeight="false" outlineLevel="1" collapsed="false">
      <c r="A19" s="33" t="str">
        <f aca="false">TEXT(SIP_Fund1_PPFAS!B17,"mmm-yyyy")</f>
        <v>Jan-2026</v>
      </c>
      <c r="B19" s="34" t="n">
        <f aca="false">SIP_Fund1_PPFAS!B17</f>
        <v>46023</v>
      </c>
      <c r="C19" s="35" t="n">
        <f aca="false">SIP_Fund1_PPFAS!C17</f>
        <v>4000</v>
      </c>
      <c r="D19" s="36" t="n">
        <f aca="false">SIP_Fund1_PPFAS!D17</f>
        <v>84</v>
      </c>
      <c r="E19" s="37" t="n">
        <f aca="false">SIP_Fund1_PPFAS!E17</f>
        <v>47.6190476190476</v>
      </c>
      <c r="F19" s="33" t="n">
        <f aca="false">Assumptions!$C$5-B19</f>
        <v>3666</v>
      </c>
      <c r="G19" s="36" t="n">
        <f aca="false">Assumptions!$D$19*(1+Assumptions!$F$19)^((Assumptions!$C$5-Assumptions!$C$4)/365)</f>
        <v>262.190538254849</v>
      </c>
      <c r="H19" s="35" t="n">
        <f aca="false">E19*G19</f>
        <v>12485.2637264214</v>
      </c>
      <c r="I19" s="47" t="n">
        <f aca="false">IF(F19&lt;365,Assumptions!$G$19,IF(F19&lt;=730,Assumptions!$H$19,Assumptions!$I$19))</f>
        <v>0</v>
      </c>
      <c r="J19" s="35" t="n">
        <f aca="false">H19*I19</f>
        <v>0</v>
      </c>
      <c r="K19" s="35" t="n">
        <f aca="false">H19-J19</f>
        <v>12485.2637264214</v>
      </c>
      <c r="L19" s="35" t="n">
        <f aca="false">K19-C19</f>
        <v>8485.26372642138</v>
      </c>
      <c r="M19" s="33" t="str">
        <f aca="false">IF(F19&gt;365,"LTCG","STCG")</f>
        <v>LTCG</v>
      </c>
      <c r="N19" s="47" t="n">
        <f aca="false">IF(M19="LTCG",Assumptions!$C$12,Assumptions!$C$11)</f>
        <v>0.125</v>
      </c>
      <c r="O19" s="33" t="str">
        <f aca="false">IF(M19="STCG",MAX(L19,0)*Assumptions!$C$11,"agg. below")</f>
        <v>agg. below</v>
      </c>
    </row>
    <row r="20" customFormat="false" ht="15" hidden="false" customHeight="false" outlineLevel="1" collapsed="false">
      <c r="A20" s="38" t="str">
        <f aca="false">TEXT(SIP_Fund1_PPFAS!B18,"mmm-yyyy")</f>
        <v>Feb-2026</v>
      </c>
      <c r="B20" s="39" t="n">
        <f aca="false">SIP_Fund1_PPFAS!B18</f>
        <v>46054</v>
      </c>
      <c r="C20" s="40" t="n">
        <f aca="false">SIP_Fund1_PPFAS!C18</f>
        <v>4000</v>
      </c>
      <c r="D20" s="41" t="n">
        <f aca="false">SIP_Fund1_PPFAS!D18</f>
        <v>84.8124183477041</v>
      </c>
      <c r="E20" s="42" t="n">
        <f aca="false">SIP_Fund1_PPFAS!E18</f>
        <v>47.1629046539065</v>
      </c>
      <c r="F20" s="38" t="n">
        <f aca="false">Assumptions!$C$5-B20</f>
        <v>3635</v>
      </c>
      <c r="G20" s="41" t="n">
        <f aca="false">Assumptions!$D$19*(1+Assumptions!$F$19)^((Assumptions!$C$5-Assumptions!$C$4)/365)</f>
        <v>262.190538254849</v>
      </c>
      <c r="H20" s="40" t="n">
        <f aca="false">E20*G20</f>
        <v>12365.6673568699</v>
      </c>
      <c r="I20" s="48" t="n">
        <f aca="false">IF(F20&lt;365,Assumptions!$G$19,IF(F20&lt;=730,Assumptions!$H$19,Assumptions!$I$19))</f>
        <v>0</v>
      </c>
      <c r="J20" s="40" t="n">
        <f aca="false">H20*I20</f>
        <v>0</v>
      </c>
      <c r="K20" s="40" t="n">
        <f aca="false">H20-J20</f>
        <v>12365.6673568699</v>
      </c>
      <c r="L20" s="40" t="n">
        <f aca="false">K20-C20</f>
        <v>8365.66735686988</v>
      </c>
      <c r="M20" s="38" t="str">
        <f aca="false">IF(F20&gt;365,"LTCG","STCG")</f>
        <v>LTCG</v>
      </c>
      <c r="N20" s="48" t="n">
        <f aca="false">IF(M20="LTCG",Assumptions!$C$12,Assumptions!$C$11)</f>
        <v>0.125</v>
      </c>
      <c r="O20" s="38" t="str">
        <f aca="false">IF(M20="STCG",MAX(L20,0)*Assumptions!$C$11,"agg. below")</f>
        <v>agg. below</v>
      </c>
    </row>
    <row r="21" customFormat="false" ht="15" hidden="false" customHeight="false" outlineLevel="1" collapsed="false">
      <c r="A21" s="33" t="str">
        <f aca="false">TEXT(SIP_Fund1_PPFAS!B19,"mmm-yyyy")</f>
        <v>Mar-2026</v>
      </c>
      <c r="B21" s="34" t="n">
        <f aca="false">SIP_Fund1_PPFAS!B19</f>
        <v>46082</v>
      </c>
      <c r="C21" s="35" t="n">
        <f aca="false">SIP_Fund1_PPFAS!C19</f>
        <v>4000</v>
      </c>
      <c r="D21" s="36" t="n">
        <f aca="false">SIP_Fund1_PPFAS!D19</f>
        <v>85.5529670865855</v>
      </c>
      <c r="E21" s="37" t="n">
        <f aca="false">SIP_Fund1_PPFAS!E19</f>
        <v>46.7546613076753</v>
      </c>
      <c r="F21" s="33" t="n">
        <f aca="false">Assumptions!$C$5-B21</f>
        <v>3607</v>
      </c>
      <c r="G21" s="36" t="n">
        <f aca="false">Assumptions!$D$19*(1+Assumptions!$F$19)^((Assumptions!$C$5-Assumptions!$C$4)/365)</f>
        <v>262.190538254849</v>
      </c>
      <c r="H21" s="35" t="n">
        <f aca="false">E21*G21</f>
        <v>12258.6298141826</v>
      </c>
      <c r="I21" s="47" t="n">
        <f aca="false">IF(F21&lt;365,Assumptions!$G$19,IF(F21&lt;=730,Assumptions!$H$19,Assumptions!$I$19))</f>
        <v>0</v>
      </c>
      <c r="J21" s="35" t="n">
        <f aca="false">H21*I21</f>
        <v>0</v>
      </c>
      <c r="K21" s="35" t="n">
        <f aca="false">H21-J21</f>
        <v>12258.6298141826</v>
      </c>
      <c r="L21" s="35" t="n">
        <f aca="false">K21-C21</f>
        <v>8258.62981418256</v>
      </c>
      <c r="M21" s="33" t="str">
        <f aca="false">IF(F21&gt;365,"LTCG","STCG")</f>
        <v>LTCG</v>
      </c>
      <c r="N21" s="47" t="n">
        <f aca="false">IF(M21="LTCG",Assumptions!$C$12,Assumptions!$C$11)</f>
        <v>0.125</v>
      </c>
      <c r="O21" s="33" t="str">
        <f aca="false">IF(M21="STCG",MAX(L21,0)*Assumptions!$C$11,"agg. below")</f>
        <v>agg. below</v>
      </c>
    </row>
    <row r="22" customFormat="false" ht="15" hidden="false" customHeight="false" outlineLevel="1" collapsed="false">
      <c r="A22" s="38" t="str">
        <f aca="false">TEXT(SIP_Fund1_PPFAS!B20,"mmm-yyyy")</f>
        <v>Apr-2026</v>
      </c>
      <c r="B22" s="39" t="n">
        <f aca="false">SIP_Fund1_PPFAS!B20</f>
        <v>46113</v>
      </c>
      <c r="C22" s="40" t="n">
        <f aca="false">SIP_Fund1_PPFAS!C20</f>
        <v>4000</v>
      </c>
      <c r="D22" s="41" t="n">
        <f aca="false">SIP_Fund1_PPFAS!D20</f>
        <v>86.3804051837482</v>
      </c>
      <c r="E22" s="42" t="n">
        <f aca="false">SIP_Fund1_PPFAS!E20</f>
        <v>46.3067983009713</v>
      </c>
      <c r="F22" s="38" t="n">
        <f aca="false">Assumptions!$C$5-B22</f>
        <v>3576</v>
      </c>
      <c r="G22" s="41" t="n">
        <f aca="false">Assumptions!$D$19*(1+Assumptions!$F$19)^((Assumptions!$C$5-Assumptions!$C$4)/365)</f>
        <v>262.190538254849</v>
      </c>
      <c r="H22" s="40" t="n">
        <f aca="false">E22*G22</f>
        <v>12141.2043713904</v>
      </c>
      <c r="I22" s="48" t="n">
        <f aca="false">IF(F22&lt;365,Assumptions!$G$19,IF(F22&lt;=730,Assumptions!$H$19,Assumptions!$I$19))</f>
        <v>0</v>
      </c>
      <c r="J22" s="40" t="n">
        <f aca="false">H22*I22</f>
        <v>0</v>
      </c>
      <c r="K22" s="40" t="n">
        <f aca="false">H22-J22</f>
        <v>12141.2043713904</v>
      </c>
      <c r="L22" s="40" t="n">
        <f aca="false">K22-C22</f>
        <v>8141.20437139039</v>
      </c>
      <c r="M22" s="38" t="str">
        <f aca="false">IF(F22&gt;365,"LTCG","STCG")</f>
        <v>LTCG</v>
      </c>
      <c r="N22" s="48" t="n">
        <f aca="false">IF(M22="LTCG",Assumptions!$C$12,Assumptions!$C$11)</f>
        <v>0.125</v>
      </c>
      <c r="O22" s="38" t="str">
        <f aca="false">IF(M22="STCG",MAX(L22,0)*Assumptions!$C$11,"agg. below")</f>
        <v>agg. below</v>
      </c>
    </row>
    <row r="23" customFormat="false" ht="15" hidden="false" customHeight="false" outlineLevel="1" collapsed="false">
      <c r="A23" s="33" t="str">
        <f aca="false">TEXT(SIP_Fund1_PPFAS!B21,"mmm-yyyy")</f>
        <v>May-2026</v>
      </c>
      <c r="B23" s="34" t="n">
        <f aca="false">SIP_Fund1_PPFAS!B21</f>
        <v>46143</v>
      </c>
      <c r="C23" s="35" t="n">
        <f aca="false">SIP_Fund1_PPFAS!C21</f>
        <v>4000</v>
      </c>
      <c r="D23" s="36" t="n">
        <f aca="false">SIP_Fund1_PPFAS!D21</f>
        <v>87.1887705649684</v>
      </c>
      <c r="E23" s="37" t="n">
        <f aca="false">SIP_Fund1_PPFAS!E21</f>
        <v>45.8774676380993</v>
      </c>
      <c r="F23" s="33" t="n">
        <f aca="false">Assumptions!$C$5-B23</f>
        <v>3546</v>
      </c>
      <c r="G23" s="36" t="n">
        <f aca="false">Assumptions!$D$19*(1+Assumptions!$F$19)^((Assumptions!$C$5-Assumptions!$C$4)/365)</f>
        <v>262.190538254849</v>
      </c>
      <c r="H23" s="35" t="n">
        <f aca="false">E23*G23</f>
        <v>12028.6379338027</v>
      </c>
      <c r="I23" s="47" t="n">
        <f aca="false">IF(F23&lt;365,Assumptions!$G$19,IF(F23&lt;=730,Assumptions!$H$19,Assumptions!$I$19))</f>
        <v>0</v>
      </c>
      <c r="J23" s="35" t="n">
        <f aca="false">H23*I23</f>
        <v>0</v>
      </c>
      <c r="K23" s="35" t="n">
        <f aca="false">H23-J23</f>
        <v>12028.6379338027</v>
      </c>
      <c r="L23" s="35" t="n">
        <f aca="false">K23-C23</f>
        <v>8028.63793380267</v>
      </c>
      <c r="M23" s="33" t="str">
        <f aca="false">IF(F23&gt;365,"LTCG","STCG")</f>
        <v>LTCG</v>
      </c>
      <c r="N23" s="47" t="n">
        <f aca="false">IF(M23="LTCG",Assumptions!$C$12,Assumptions!$C$11)</f>
        <v>0.125</v>
      </c>
      <c r="O23" s="33" t="str">
        <f aca="false">IF(M23="STCG",MAX(L23,0)*Assumptions!$C$11,"agg. below")</f>
        <v>agg. below</v>
      </c>
    </row>
    <row r="24" customFormat="false" ht="15" hidden="false" customHeight="false" outlineLevel="1" collapsed="false">
      <c r="A24" s="38" t="str">
        <f aca="false">TEXT(SIP_Fund1_PPFAS!B22,"mmm-yyyy")</f>
        <v>Jun-2026</v>
      </c>
      <c r="B24" s="39" t="n">
        <f aca="false">SIP_Fund1_PPFAS!B22</f>
        <v>46174</v>
      </c>
      <c r="C24" s="40" t="n">
        <f aca="false">SIP_Fund1_PPFAS!C22</f>
        <v>4000</v>
      </c>
      <c r="D24" s="41" t="n">
        <f aca="false">SIP_Fund1_PPFAS!D22</f>
        <v>88.0320295759296</v>
      </c>
      <c r="E24" s="42" t="n">
        <f aca="false">SIP_Fund1_PPFAS!E22</f>
        <v>45.4380072715455</v>
      </c>
      <c r="F24" s="38" t="n">
        <f aca="false">Assumptions!$C$5-B24</f>
        <v>3515</v>
      </c>
      <c r="G24" s="41" t="n">
        <f aca="false">Assumptions!$D$19*(1+Assumptions!$F$19)^((Assumptions!$C$5-Assumptions!$C$4)/365)</f>
        <v>262.190538254849</v>
      </c>
      <c r="H24" s="40" t="n">
        <f aca="false">E24*G24</f>
        <v>11913.4155837543</v>
      </c>
      <c r="I24" s="48" t="n">
        <f aca="false">IF(F24&lt;365,Assumptions!$G$19,IF(F24&lt;=730,Assumptions!$H$19,Assumptions!$I$19))</f>
        <v>0</v>
      </c>
      <c r="J24" s="40" t="n">
        <f aca="false">H24*I24</f>
        <v>0</v>
      </c>
      <c r="K24" s="40" t="n">
        <f aca="false">H24-J24</f>
        <v>11913.4155837543</v>
      </c>
      <c r="L24" s="40" t="n">
        <f aca="false">K24-C24</f>
        <v>7913.41558375427</v>
      </c>
      <c r="M24" s="38" t="str">
        <f aca="false">IF(F24&gt;365,"LTCG","STCG")</f>
        <v>LTCG</v>
      </c>
      <c r="N24" s="48" t="n">
        <f aca="false">IF(M24="LTCG",Assumptions!$C$12,Assumptions!$C$11)</f>
        <v>0.125</v>
      </c>
      <c r="O24" s="38" t="str">
        <f aca="false">IF(M24="STCG",MAX(L24,0)*Assumptions!$C$11,"agg. below")</f>
        <v>agg. below</v>
      </c>
    </row>
    <row r="25" customFormat="false" ht="15" hidden="false" customHeight="false" outlineLevel="1" collapsed="false">
      <c r="A25" s="33" t="str">
        <f aca="false">TEXT(SIP_Fund1_PPFAS!B23,"mmm-yyyy")</f>
        <v>Jul-2026</v>
      </c>
      <c r="B25" s="34" t="n">
        <f aca="false">SIP_Fund1_PPFAS!B23</f>
        <v>46204</v>
      </c>
      <c r="C25" s="35" t="n">
        <f aca="false">SIP_Fund1_PPFAS!C23</f>
        <v>4000</v>
      </c>
      <c r="D25" s="36" t="n">
        <f aca="false">SIP_Fund1_PPFAS!D23</f>
        <v>88.8558511937649</v>
      </c>
      <c r="E25" s="37" t="n">
        <f aca="false">SIP_Fund1_PPFAS!E23</f>
        <v>45.0167315518405</v>
      </c>
      <c r="F25" s="33" t="n">
        <f aca="false">Assumptions!$C$5-B25</f>
        <v>3485</v>
      </c>
      <c r="G25" s="36" t="n">
        <f aca="false">Assumptions!$D$19*(1+Assumptions!$F$19)^((Assumptions!$C$5-Assumptions!$C$4)/365)</f>
        <v>262.190538254849</v>
      </c>
      <c r="H25" s="35" t="n">
        <f aca="false">E25*G25</f>
        <v>11802.9610760511</v>
      </c>
      <c r="I25" s="47" t="n">
        <f aca="false">IF(F25&lt;365,Assumptions!$G$19,IF(F25&lt;=730,Assumptions!$H$19,Assumptions!$I$19))</f>
        <v>0</v>
      </c>
      <c r="J25" s="35" t="n">
        <f aca="false">H25*I25</f>
        <v>0</v>
      </c>
      <c r="K25" s="35" t="n">
        <f aca="false">H25-J25</f>
        <v>11802.9610760511</v>
      </c>
      <c r="L25" s="35" t="n">
        <f aca="false">K25-C25</f>
        <v>7802.96107605111</v>
      </c>
      <c r="M25" s="33" t="str">
        <f aca="false">IF(F25&gt;365,"LTCG","STCG")</f>
        <v>LTCG</v>
      </c>
      <c r="N25" s="47" t="n">
        <f aca="false">IF(M25="LTCG",Assumptions!$C$12,Assumptions!$C$11)</f>
        <v>0.125</v>
      </c>
      <c r="O25" s="33" t="str">
        <f aca="false">IF(M25="STCG",MAX(L25,0)*Assumptions!$C$11,"agg. below")</f>
        <v>agg. below</v>
      </c>
    </row>
    <row r="26" customFormat="false" ht="15" hidden="false" customHeight="false" outlineLevel="1" collapsed="false">
      <c r="A26" s="38" t="str">
        <f aca="false">TEXT(SIP_Fund1_PPFAS!B24,"mmm-yyyy")</f>
        <v>Aug-2026</v>
      </c>
      <c r="B26" s="39" t="n">
        <f aca="false">SIP_Fund1_PPFAS!B24</f>
        <v>46235</v>
      </c>
      <c r="C26" s="40" t="n">
        <f aca="false">SIP_Fund1_PPFAS!C24</f>
        <v>4000</v>
      </c>
      <c r="D26" s="41" t="n">
        <f aca="false">SIP_Fund1_PPFAS!D24</f>
        <v>89.7152336200824</v>
      </c>
      <c r="E26" s="42" t="n">
        <f aca="false">SIP_Fund1_PPFAS!E24</f>
        <v>44.5855161782092</v>
      </c>
      <c r="F26" s="38" t="n">
        <f aca="false">Assumptions!$C$5-B26</f>
        <v>3454</v>
      </c>
      <c r="G26" s="41" t="n">
        <f aca="false">Assumptions!$D$19*(1+Assumptions!$F$19)^((Assumptions!$C$5-Assumptions!$C$4)/365)</f>
        <v>262.190538254849</v>
      </c>
      <c r="H26" s="40" t="n">
        <f aca="false">E26*G26</f>
        <v>11689.9004851349</v>
      </c>
      <c r="I26" s="48" t="n">
        <f aca="false">IF(F26&lt;365,Assumptions!$G$19,IF(F26&lt;=730,Assumptions!$H$19,Assumptions!$I$19))</f>
        <v>0</v>
      </c>
      <c r="J26" s="40" t="n">
        <f aca="false">H26*I26</f>
        <v>0</v>
      </c>
      <c r="K26" s="40" t="n">
        <f aca="false">H26-J26</f>
        <v>11689.9004851349</v>
      </c>
      <c r="L26" s="40" t="n">
        <f aca="false">K26-C26</f>
        <v>7689.90048513495</v>
      </c>
      <c r="M26" s="38" t="str">
        <f aca="false">IF(F26&gt;365,"LTCG","STCG")</f>
        <v>LTCG</v>
      </c>
      <c r="N26" s="48" t="n">
        <f aca="false">IF(M26="LTCG",Assumptions!$C$12,Assumptions!$C$11)</f>
        <v>0.125</v>
      </c>
      <c r="O26" s="38" t="str">
        <f aca="false">IF(M26="STCG",MAX(L26,0)*Assumptions!$C$11,"agg. below")</f>
        <v>agg. below</v>
      </c>
    </row>
    <row r="27" customFormat="false" ht="15" hidden="false" customHeight="false" outlineLevel="1" collapsed="false">
      <c r="A27" s="33" t="str">
        <f aca="false">TEXT(SIP_Fund1_PPFAS!B25,"mmm-yyyy")</f>
        <v>Sep-2026</v>
      </c>
      <c r="B27" s="34" t="n">
        <f aca="false">SIP_Fund1_PPFAS!B25</f>
        <v>46266</v>
      </c>
      <c r="C27" s="35" t="n">
        <f aca="false">SIP_Fund1_PPFAS!C25</f>
        <v>4000</v>
      </c>
      <c r="D27" s="36" t="n">
        <f aca="false">SIP_Fund1_PPFAS!D25</f>
        <v>90.5829276898623</v>
      </c>
      <c r="E27" s="37" t="n">
        <f aca="false">SIP_Fund1_PPFAS!E25</f>
        <v>44.1584314176198</v>
      </c>
      <c r="F27" s="33" t="n">
        <f aca="false">Assumptions!$C$5-B27</f>
        <v>3423</v>
      </c>
      <c r="G27" s="36" t="n">
        <f aca="false">Assumptions!$D$19*(1+Assumptions!$F$19)^((Assumptions!$C$5-Assumptions!$C$4)/365)</f>
        <v>262.190538254849</v>
      </c>
      <c r="H27" s="35" t="n">
        <f aca="false">E27*G27</f>
        <v>11577.9229018756</v>
      </c>
      <c r="I27" s="47" t="n">
        <f aca="false">IF(F27&lt;365,Assumptions!$G$19,IF(F27&lt;=730,Assumptions!$H$19,Assumptions!$I$19))</f>
        <v>0</v>
      </c>
      <c r="J27" s="35" t="n">
        <f aca="false">H27*I27</f>
        <v>0</v>
      </c>
      <c r="K27" s="35" t="n">
        <f aca="false">H27-J27</f>
        <v>11577.9229018756</v>
      </c>
      <c r="L27" s="35" t="n">
        <f aca="false">K27-C27</f>
        <v>7577.92290187558</v>
      </c>
      <c r="M27" s="33" t="str">
        <f aca="false">IF(F27&gt;365,"LTCG","STCG")</f>
        <v>LTCG</v>
      </c>
      <c r="N27" s="47" t="n">
        <f aca="false">IF(M27="LTCG",Assumptions!$C$12,Assumptions!$C$11)</f>
        <v>0.125</v>
      </c>
      <c r="O27" s="33" t="str">
        <f aca="false">IF(M27="STCG",MAX(L27,0)*Assumptions!$C$11,"agg. below")</f>
        <v>agg. below</v>
      </c>
    </row>
    <row r="28" customFormat="false" ht="15" hidden="false" customHeight="false" outlineLevel="1" collapsed="false">
      <c r="A28" s="38" t="str">
        <f aca="false">TEXT(SIP_Fund1_PPFAS!B26,"mmm-yyyy")</f>
        <v>Oct-2026</v>
      </c>
      <c r="B28" s="39" t="n">
        <f aca="false">SIP_Fund1_PPFAS!B26</f>
        <v>46296</v>
      </c>
      <c r="C28" s="40" t="n">
        <f aca="false">SIP_Fund1_PPFAS!C26</f>
        <v>4000</v>
      </c>
      <c r="D28" s="41" t="n">
        <f aca="false">SIP_Fund1_PPFAS!D26</f>
        <v>91.430621130502</v>
      </c>
      <c r="E28" s="42" t="n">
        <f aca="false">SIP_Fund1_PPFAS!E26</f>
        <v>43.7490192075876</v>
      </c>
      <c r="F28" s="38" t="n">
        <f aca="false">Assumptions!$C$5-B28</f>
        <v>3393</v>
      </c>
      <c r="G28" s="41" t="n">
        <f aca="false">Assumptions!$D$19*(1+Assumptions!$F$19)^((Assumptions!$C$5-Assumptions!$C$4)/365)</f>
        <v>262.190538254849</v>
      </c>
      <c r="H28" s="40" t="n">
        <f aca="false">E28*G28</f>
        <v>11470.5788941591</v>
      </c>
      <c r="I28" s="48" t="n">
        <f aca="false">IF(F28&lt;365,Assumptions!$G$19,IF(F28&lt;=730,Assumptions!$H$19,Assumptions!$I$19))</f>
        <v>0</v>
      </c>
      <c r="J28" s="40" t="n">
        <f aca="false">H28*I28</f>
        <v>0</v>
      </c>
      <c r="K28" s="40" t="n">
        <f aca="false">H28-J28</f>
        <v>11470.5788941591</v>
      </c>
      <c r="L28" s="40" t="n">
        <f aca="false">K28-C28</f>
        <v>7470.57889415913</v>
      </c>
      <c r="M28" s="38" t="str">
        <f aca="false">IF(F28&gt;365,"LTCG","STCG")</f>
        <v>LTCG</v>
      </c>
      <c r="N28" s="48" t="n">
        <f aca="false">IF(M28="LTCG",Assumptions!$C$12,Assumptions!$C$11)</f>
        <v>0.125</v>
      </c>
      <c r="O28" s="38" t="str">
        <f aca="false">IF(M28="STCG",MAX(L28,0)*Assumptions!$C$11,"agg. below")</f>
        <v>agg. below</v>
      </c>
    </row>
    <row r="29" customFormat="false" ht="15" hidden="false" customHeight="false" outlineLevel="1" collapsed="false">
      <c r="A29" s="33" t="str">
        <f aca="false">TEXT(SIP_Fund1_PPFAS!B27,"mmm-yyyy")</f>
        <v>Nov-2026</v>
      </c>
      <c r="B29" s="34" t="n">
        <f aca="false">SIP_Fund1_PPFAS!B27</f>
        <v>46327</v>
      </c>
      <c r="C29" s="35" t="n">
        <f aca="false">SIP_Fund1_PPFAS!C27</f>
        <v>4000</v>
      </c>
      <c r="D29" s="36" t="n">
        <f aca="false">SIP_Fund1_PPFAS!D27</f>
        <v>92.3149058227448</v>
      </c>
      <c r="E29" s="37" t="n">
        <f aca="false">SIP_Fund1_PPFAS!E27</f>
        <v>43.329947253377</v>
      </c>
      <c r="F29" s="33" t="n">
        <f aca="false">Assumptions!$C$5-B29</f>
        <v>3362</v>
      </c>
      <c r="G29" s="36" t="n">
        <f aca="false">Assumptions!$D$19*(1+Assumptions!$F$19)^((Assumptions!$C$5-Assumptions!$C$4)/365)</f>
        <v>262.190538254849</v>
      </c>
      <c r="H29" s="35" t="n">
        <f aca="false">E29*G29</f>
        <v>11360.7021929171</v>
      </c>
      <c r="I29" s="47" t="n">
        <f aca="false">IF(F29&lt;365,Assumptions!$G$19,IF(F29&lt;=730,Assumptions!$H$19,Assumptions!$I$19))</f>
        <v>0</v>
      </c>
      <c r="J29" s="35" t="n">
        <f aca="false">H29*I29</f>
        <v>0</v>
      </c>
      <c r="K29" s="35" t="n">
        <f aca="false">H29-J29</f>
        <v>11360.7021929171</v>
      </c>
      <c r="L29" s="35" t="n">
        <f aca="false">K29-C29</f>
        <v>7360.70219291714</v>
      </c>
      <c r="M29" s="33" t="str">
        <f aca="false">IF(F29&gt;365,"LTCG","STCG")</f>
        <v>LTCG</v>
      </c>
      <c r="N29" s="47" t="n">
        <f aca="false">IF(M29="LTCG",Assumptions!$C$12,Assumptions!$C$11)</f>
        <v>0.125</v>
      </c>
      <c r="O29" s="33" t="str">
        <f aca="false">IF(M29="STCG",MAX(L29,0)*Assumptions!$C$11,"agg. below")</f>
        <v>agg. below</v>
      </c>
    </row>
    <row r="30" customFormat="false" ht="15" hidden="false" customHeight="false" outlineLevel="1" collapsed="false">
      <c r="A30" s="38" t="str">
        <f aca="false">TEXT(SIP_Fund1_PPFAS!B28,"mmm-yyyy")</f>
        <v>Dec-2026</v>
      </c>
      <c r="B30" s="39" t="n">
        <f aca="false">SIP_Fund1_PPFAS!B28</f>
        <v>46357</v>
      </c>
      <c r="C30" s="40" t="n">
        <f aca="false">SIP_Fund1_PPFAS!C28</f>
        <v>4000</v>
      </c>
      <c r="D30" s="41" t="n">
        <f aca="false">SIP_Fund1_PPFAS!D28</f>
        <v>93.1788074666301</v>
      </c>
      <c r="E30" s="42" t="n">
        <f aca="false">SIP_Fund1_PPFAS!E28</f>
        <v>42.9282162838638</v>
      </c>
      <c r="F30" s="38" t="n">
        <f aca="false">Assumptions!$C$5-B30</f>
        <v>3332</v>
      </c>
      <c r="G30" s="41" t="n">
        <f aca="false">Assumptions!$D$19*(1+Assumptions!$F$19)^((Assumptions!$C$5-Assumptions!$C$4)/365)</f>
        <v>262.190538254849</v>
      </c>
      <c r="H30" s="40" t="n">
        <f aca="false">E30*G30</f>
        <v>11255.3721337868</v>
      </c>
      <c r="I30" s="48" t="n">
        <f aca="false">IF(F30&lt;365,Assumptions!$G$19,IF(F30&lt;=730,Assumptions!$H$19,Assumptions!$I$19))</f>
        <v>0</v>
      </c>
      <c r="J30" s="40" t="n">
        <f aca="false">H30*I30</f>
        <v>0</v>
      </c>
      <c r="K30" s="40" t="n">
        <f aca="false">H30-J30</f>
        <v>11255.3721337868</v>
      </c>
      <c r="L30" s="40" t="n">
        <f aca="false">K30-C30</f>
        <v>7255.37213378683</v>
      </c>
      <c r="M30" s="38" t="str">
        <f aca="false">IF(F30&gt;365,"LTCG","STCG")</f>
        <v>LTCG</v>
      </c>
      <c r="N30" s="48" t="n">
        <f aca="false">IF(M30="LTCG",Assumptions!$C$12,Assumptions!$C$11)</f>
        <v>0.125</v>
      </c>
      <c r="O30" s="38" t="str">
        <f aca="false">IF(M30="STCG",MAX(L30,0)*Assumptions!$C$11,"agg. below")</f>
        <v>agg. below</v>
      </c>
    </row>
    <row r="31" customFormat="false" ht="15" hidden="false" customHeight="false" outlineLevel="1" collapsed="false">
      <c r="A31" s="33" t="str">
        <f aca="false">TEXT(SIP_Fund1_PPFAS!B29,"mmm-yyyy")</f>
        <v>Jan-2027</v>
      </c>
      <c r="B31" s="34" t="n">
        <f aca="false">SIP_Fund1_PPFAS!B29</f>
        <v>46388</v>
      </c>
      <c r="C31" s="35" t="n">
        <f aca="false">SIP_Fund1_PPFAS!C29</f>
        <v>5000</v>
      </c>
      <c r="D31" s="36" t="n">
        <f aca="false">SIP_Fund1_PPFAS!D29</f>
        <v>94.08</v>
      </c>
      <c r="E31" s="37" t="n">
        <f aca="false">SIP_Fund1_PPFAS!E29</f>
        <v>53.1462585034014</v>
      </c>
      <c r="F31" s="33" t="n">
        <f aca="false">Assumptions!$C$5-B31</f>
        <v>3301</v>
      </c>
      <c r="G31" s="36" t="n">
        <f aca="false">Assumptions!$D$19*(1+Assumptions!$F$19)^((Assumptions!$C$5-Assumptions!$C$4)/365)</f>
        <v>262.190538254849</v>
      </c>
      <c r="H31" s="35" t="n">
        <f aca="false">E31*G31</f>
        <v>13934.4461232382</v>
      </c>
      <c r="I31" s="47" t="n">
        <f aca="false">IF(F31&lt;365,Assumptions!$G$19,IF(F31&lt;=730,Assumptions!$H$19,Assumptions!$I$19))</f>
        <v>0</v>
      </c>
      <c r="J31" s="35" t="n">
        <f aca="false">H31*I31</f>
        <v>0</v>
      </c>
      <c r="K31" s="35" t="n">
        <f aca="false">H31-J31</f>
        <v>13934.4461232382</v>
      </c>
      <c r="L31" s="35" t="n">
        <f aca="false">K31-C31</f>
        <v>8934.44612323815</v>
      </c>
      <c r="M31" s="33" t="str">
        <f aca="false">IF(F31&gt;365,"LTCG","STCG")</f>
        <v>LTCG</v>
      </c>
      <c r="N31" s="47" t="n">
        <f aca="false">IF(M31="LTCG",Assumptions!$C$12,Assumptions!$C$11)</f>
        <v>0.125</v>
      </c>
      <c r="O31" s="33" t="str">
        <f aca="false">IF(M31="STCG",MAX(L31,0)*Assumptions!$C$11,"agg. below")</f>
        <v>agg. below</v>
      </c>
    </row>
    <row r="32" customFormat="false" ht="15" hidden="false" customHeight="false" outlineLevel="1" collapsed="false">
      <c r="A32" s="38" t="str">
        <f aca="false">TEXT(SIP_Fund1_PPFAS!B30,"mmm-yyyy")</f>
        <v>Feb-2027</v>
      </c>
      <c r="B32" s="39" t="n">
        <f aca="false">SIP_Fund1_PPFAS!B30</f>
        <v>46419</v>
      </c>
      <c r="C32" s="40" t="n">
        <f aca="false">SIP_Fund1_PPFAS!C30</f>
        <v>5000</v>
      </c>
      <c r="D32" s="41" t="n">
        <f aca="false">SIP_Fund1_PPFAS!D30</f>
        <v>94.9899085494286</v>
      </c>
      <c r="E32" s="42" t="n">
        <f aca="false">SIP_Fund1_PPFAS!E30</f>
        <v>52.6371703726635</v>
      </c>
      <c r="F32" s="38" t="n">
        <f aca="false">Assumptions!$C$5-B32</f>
        <v>3270</v>
      </c>
      <c r="G32" s="41" t="n">
        <f aca="false">Assumptions!$D$19*(1+Assumptions!$F$19)^((Assumptions!$C$5-Assumptions!$C$4)/365)</f>
        <v>262.190538254849</v>
      </c>
      <c r="H32" s="40" t="n">
        <f aca="false">E32*G32</f>
        <v>13800.9680322208</v>
      </c>
      <c r="I32" s="48" t="n">
        <f aca="false">IF(F32&lt;365,Assumptions!$G$19,IF(F32&lt;=730,Assumptions!$H$19,Assumptions!$I$19))</f>
        <v>0</v>
      </c>
      <c r="J32" s="40" t="n">
        <f aca="false">H32*I32</f>
        <v>0</v>
      </c>
      <c r="K32" s="40" t="n">
        <f aca="false">H32-J32</f>
        <v>13800.9680322208</v>
      </c>
      <c r="L32" s="40" t="n">
        <f aca="false">K32-C32</f>
        <v>8800.96803222085</v>
      </c>
      <c r="M32" s="38" t="str">
        <f aca="false">IF(F32&gt;365,"LTCG","STCG")</f>
        <v>LTCG</v>
      </c>
      <c r="N32" s="48" t="n">
        <f aca="false">IF(M32="LTCG",Assumptions!$C$12,Assumptions!$C$11)</f>
        <v>0.125</v>
      </c>
      <c r="O32" s="38" t="str">
        <f aca="false">IF(M32="STCG",MAX(L32,0)*Assumptions!$C$11,"agg. below")</f>
        <v>agg. below</v>
      </c>
    </row>
    <row r="33" customFormat="false" ht="15" hidden="false" customHeight="false" outlineLevel="1" collapsed="false">
      <c r="A33" s="33" t="str">
        <f aca="false">TEXT(SIP_Fund1_PPFAS!B31,"mmm-yyyy")</f>
        <v>Mar-2027</v>
      </c>
      <c r="B33" s="34" t="n">
        <f aca="false">SIP_Fund1_PPFAS!B31</f>
        <v>46447</v>
      </c>
      <c r="C33" s="35" t="n">
        <f aca="false">SIP_Fund1_PPFAS!C31</f>
        <v>5000</v>
      </c>
      <c r="D33" s="36" t="n">
        <f aca="false">SIP_Fund1_PPFAS!D31</f>
        <v>95.8193231369758</v>
      </c>
      <c r="E33" s="37" t="n">
        <f aca="false">SIP_Fund1_PPFAS!E31</f>
        <v>52.1815416380305</v>
      </c>
      <c r="F33" s="33" t="n">
        <f aca="false">Assumptions!$C$5-B33</f>
        <v>3242</v>
      </c>
      <c r="G33" s="36" t="n">
        <f aca="false">Assumptions!$D$19*(1+Assumptions!$F$19)^((Assumptions!$C$5-Assumptions!$C$4)/365)</f>
        <v>262.190538254849</v>
      </c>
      <c r="H33" s="35" t="n">
        <f aca="false">E33*G33</f>
        <v>13681.506489043</v>
      </c>
      <c r="I33" s="47" t="n">
        <f aca="false">IF(F33&lt;365,Assumptions!$G$19,IF(F33&lt;=730,Assumptions!$H$19,Assumptions!$I$19))</f>
        <v>0</v>
      </c>
      <c r="J33" s="35" t="n">
        <f aca="false">H33*I33</f>
        <v>0</v>
      </c>
      <c r="K33" s="35" t="n">
        <f aca="false">H33-J33</f>
        <v>13681.506489043</v>
      </c>
      <c r="L33" s="35" t="n">
        <f aca="false">K33-C33</f>
        <v>8681.50648904303</v>
      </c>
      <c r="M33" s="33" t="str">
        <f aca="false">IF(F33&gt;365,"LTCG","STCG")</f>
        <v>LTCG</v>
      </c>
      <c r="N33" s="47" t="n">
        <f aca="false">IF(M33="LTCG",Assumptions!$C$12,Assumptions!$C$11)</f>
        <v>0.125</v>
      </c>
      <c r="O33" s="33" t="str">
        <f aca="false">IF(M33="STCG",MAX(L33,0)*Assumptions!$C$11,"agg. below")</f>
        <v>agg. below</v>
      </c>
    </row>
    <row r="34" customFormat="false" ht="15" hidden="false" customHeight="false" outlineLevel="1" collapsed="false">
      <c r="A34" s="38" t="str">
        <f aca="false">TEXT(SIP_Fund1_PPFAS!B32,"mmm-yyyy")</f>
        <v>Apr-2027</v>
      </c>
      <c r="B34" s="39" t="n">
        <f aca="false">SIP_Fund1_PPFAS!B32</f>
        <v>46478</v>
      </c>
      <c r="C34" s="40" t="n">
        <f aca="false">SIP_Fund1_PPFAS!C32</f>
        <v>5000</v>
      </c>
      <c r="D34" s="41" t="n">
        <f aca="false">SIP_Fund1_PPFAS!D32</f>
        <v>96.746053805798</v>
      </c>
      <c r="E34" s="42" t="n">
        <f aca="false">SIP_Fund1_PPFAS!E32</f>
        <v>51.681694532334</v>
      </c>
      <c r="F34" s="38" t="n">
        <f aca="false">Assumptions!$C$5-B34</f>
        <v>3211</v>
      </c>
      <c r="G34" s="41" t="n">
        <f aca="false">Assumptions!$D$19*(1+Assumptions!$F$19)^((Assumptions!$C$5-Assumptions!$C$4)/365)</f>
        <v>262.190538254849</v>
      </c>
      <c r="H34" s="40" t="n">
        <f aca="false">E34*G34</f>
        <v>13550.4513073553</v>
      </c>
      <c r="I34" s="48" t="n">
        <f aca="false">IF(F34&lt;365,Assumptions!$G$19,IF(F34&lt;=730,Assumptions!$H$19,Assumptions!$I$19))</f>
        <v>0</v>
      </c>
      <c r="J34" s="40" t="n">
        <f aca="false">H34*I34</f>
        <v>0</v>
      </c>
      <c r="K34" s="40" t="n">
        <f aca="false">H34-J34</f>
        <v>13550.4513073553</v>
      </c>
      <c r="L34" s="40" t="n">
        <f aca="false">K34-C34</f>
        <v>8550.45130735534</v>
      </c>
      <c r="M34" s="38" t="str">
        <f aca="false">IF(F34&gt;365,"LTCG","STCG")</f>
        <v>LTCG</v>
      </c>
      <c r="N34" s="48" t="n">
        <f aca="false">IF(M34="LTCG",Assumptions!$C$12,Assumptions!$C$11)</f>
        <v>0.125</v>
      </c>
      <c r="O34" s="38" t="str">
        <f aca="false">IF(M34="STCG",MAX(L34,0)*Assumptions!$C$11,"agg. below")</f>
        <v>agg. below</v>
      </c>
    </row>
    <row r="35" customFormat="false" ht="15" hidden="false" customHeight="false" outlineLevel="1" collapsed="false">
      <c r="A35" s="33" t="str">
        <f aca="false">TEXT(SIP_Fund1_PPFAS!B33,"mmm-yyyy")</f>
        <v>May-2027</v>
      </c>
      <c r="B35" s="34" t="n">
        <f aca="false">SIP_Fund1_PPFAS!B33</f>
        <v>46508</v>
      </c>
      <c r="C35" s="35" t="n">
        <f aca="false">SIP_Fund1_PPFAS!C33</f>
        <v>5000</v>
      </c>
      <c r="D35" s="36" t="n">
        <f aca="false">SIP_Fund1_PPFAS!D33</f>
        <v>97.6514230327646</v>
      </c>
      <c r="E35" s="37" t="n">
        <f aca="false">SIP_Fund1_PPFAS!E33</f>
        <v>51.2025308460929</v>
      </c>
      <c r="F35" s="33" t="n">
        <f aca="false">Assumptions!$C$5-B35</f>
        <v>3181</v>
      </c>
      <c r="G35" s="36" t="n">
        <f aca="false">Assumptions!$D$19*(1+Assumptions!$F$19)^((Assumptions!$C$5-Assumptions!$C$4)/365)</f>
        <v>262.190538254849</v>
      </c>
      <c r="H35" s="35" t="n">
        <f aca="false">E35*G35</f>
        <v>13424.8191225476</v>
      </c>
      <c r="I35" s="47" t="n">
        <f aca="false">IF(F35&lt;365,Assumptions!$G$19,IF(F35&lt;=730,Assumptions!$H$19,Assumptions!$I$19))</f>
        <v>0</v>
      </c>
      <c r="J35" s="35" t="n">
        <f aca="false">H35*I35</f>
        <v>0</v>
      </c>
      <c r="K35" s="35" t="n">
        <f aca="false">H35-J35</f>
        <v>13424.8191225476</v>
      </c>
      <c r="L35" s="35" t="n">
        <f aca="false">K35-C35</f>
        <v>8424.81912254762</v>
      </c>
      <c r="M35" s="33" t="str">
        <f aca="false">IF(F35&gt;365,"LTCG","STCG")</f>
        <v>LTCG</v>
      </c>
      <c r="N35" s="47" t="n">
        <f aca="false">IF(M35="LTCG",Assumptions!$C$12,Assumptions!$C$11)</f>
        <v>0.125</v>
      </c>
      <c r="O35" s="33" t="str">
        <f aca="false">IF(M35="STCG",MAX(L35,0)*Assumptions!$C$11,"agg. below")</f>
        <v>agg. below</v>
      </c>
    </row>
    <row r="36" customFormat="false" ht="15" hidden="false" customHeight="false" outlineLevel="1" collapsed="false">
      <c r="A36" s="38" t="str">
        <f aca="false">TEXT(SIP_Fund1_PPFAS!B34,"mmm-yyyy")</f>
        <v>Jun-2027</v>
      </c>
      <c r="B36" s="39" t="n">
        <f aca="false">SIP_Fund1_PPFAS!B34</f>
        <v>46539</v>
      </c>
      <c r="C36" s="40" t="n">
        <f aca="false">SIP_Fund1_PPFAS!C34</f>
        <v>5000</v>
      </c>
      <c r="D36" s="41" t="n">
        <f aca="false">SIP_Fund1_PPFAS!D34</f>
        <v>98.5958731250412</v>
      </c>
      <c r="E36" s="42" t="n">
        <f aca="false">SIP_Fund1_PPFAS!E34</f>
        <v>50.7120616869928</v>
      </c>
      <c r="F36" s="38" t="n">
        <f aca="false">Assumptions!$C$5-B36</f>
        <v>3150</v>
      </c>
      <c r="G36" s="41" t="n">
        <f aca="false">Assumptions!$D$19*(1+Assumptions!$F$19)^((Assumptions!$C$5-Assumptions!$C$4)/365)</f>
        <v>262.190538254849</v>
      </c>
      <c r="H36" s="40" t="n">
        <f aca="false">E36*G36</f>
        <v>13296.2227497257</v>
      </c>
      <c r="I36" s="48" t="n">
        <f aca="false">IF(F36&lt;365,Assumptions!$G$19,IF(F36&lt;=730,Assumptions!$H$19,Assumptions!$I$19))</f>
        <v>0</v>
      </c>
      <c r="J36" s="40" t="n">
        <f aca="false">H36*I36</f>
        <v>0</v>
      </c>
      <c r="K36" s="40" t="n">
        <f aca="false">H36-J36</f>
        <v>13296.2227497257</v>
      </c>
      <c r="L36" s="40" t="n">
        <f aca="false">K36-C36</f>
        <v>8296.22274972574</v>
      </c>
      <c r="M36" s="38" t="str">
        <f aca="false">IF(F36&gt;365,"LTCG","STCG")</f>
        <v>LTCG</v>
      </c>
      <c r="N36" s="48" t="n">
        <f aca="false">IF(M36="LTCG",Assumptions!$C$12,Assumptions!$C$11)</f>
        <v>0.125</v>
      </c>
      <c r="O36" s="38" t="str">
        <f aca="false">IF(M36="STCG",MAX(L36,0)*Assumptions!$C$11,"agg. below")</f>
        <v>agg. below</v>
      </c>
    </row>
    <row r="37" customFormat="false" ht="15" hidden="false" customHeight="false" outlineLevel="1" collapsed="false">
      <c r="A37" s="33" t="str">
        <f aca="false">TEXT(SIP_Fund1_PPFAS!B35,"mmm-yyyy")</f>
        <v>Jul-2027</v>
      </c>
      <c r="B37" s="34" t="n">
        <f aca="false">SIP_Fund1_PPFAS!B35</f>
        <v>46569</v>
      </c>
      <c r="C37" s="35" t="n">
        <f aca="false">SIP_Fund1_PPFAS!C35</f>
        <v>5000</v>
      </c>
      <c r="D37" s="36" t="n">
        <f aca="false">SIP_Fund1_PPFAS!D35</f>
        <v>99.5185533370166</v>
      </c>
      <c r="E37" s="37" t="n">
        <f aca="false">SIP_Fund1_PPFAS!E35</f>
        <v>50.2418878926791</v>
      </c>
      <c r="F37" s="33" t="n">
        <f aca="false">Assumptions!$C$5-B37</f>
        <v>3120</v>
      </c>
      <c r="G37" s="36" t="n">
        <f aca="false">Assumptions!$D$19*(1+Assumptions!$F$19)^((Assumptions!$C$5-Assumptions!$C$4)/365)</f>
        <v>262.190538254849</v>
      </c>
      <c r="H37" s="35" t="n">
        <f aca="false">E37*G37</f>
        <v>13172.9476295213</v>
      </c>
      <c r="I37" s="47" t="n">
        <f aca="false">IF(F37&lt;365,Assumptions!$G$19,IF(F37&lt;=730,Assumptions!$H$19,Assumptions!$I$19))</f>
        <v>0</v>
      </c>
      <c r="J37" s="35" t="n">
        <f aca="false">H37*I37</f>
        <v>0</v>
      </c>
      <c r="K37" s="35" t="n">
        <f aca="false">H37-J37</f>
        <v>13172.9476295213</v>
      </c>
      <c r="L37" s="35" t="n">
        <f aca="false">K37-C37</f>
        <v>8172.94762952133</v>
      </c>
      <c r="M37" s="33" t="str">
        <f aca="false">IF(F37&gt;365,"LTCG","STCG")</f>
        <v>LTCG</v>
      </c>
      <c r="N37" s="47" t="n">
        <f aca="false">IF(M37="LTCG",Assumptions!$C$12,Assumptions!$C$11)</f>
        <v>0.125</v>
      </c>
      <c r="O37" s="33" t="str">
        <f aca="false">IF(M37="STCG",MAX(L37,0)*Assumptions!$C$11,"agg. below")</f>
        <v>agg. below</v>
      </c>
    </row>
    <row r="38" customFormat="false" ht="15" hidden="false" customHeight="false" outlineLevel="1" collapsed="false">
      <c r="A38" s="38" t="str">
        <f aca="false">TEXT(SIP_Fund1_PPFAS!B36,"mmm-yyyy")</f>
        <v>Aug-2027</v>
      </c>
      <c r="B38" s="39" t="n">
        <f aca="false">SIP_Fund1_PPFAS!B36</f>
        <v>46600</v>
      </c>
      <c r="C38" s="40" t="n">
        <f aca="false">SIP_Fund1_PPFAS!C36</f>
        <v>5000</v>
      </c>
      <c r="D38" s="41" t="n">
        <f aca="false">SIP_Fund1_PPFAS!D36</f>
        <v>100.481061654492</v>
      </c>
      <c r="E38" s="42" t="n">
        <f aca="false">SIP_Fund1_PPFAS!E36</f>
        <v>49.7606207346085</v>
      </c>
      <c r="F38" s="38" t="n">
        <f aca="false">Assumptions!$C$5-B38</f>
        <v>3089</v>
      </c>
      <c r="G38" s="41" t="n">
        <f aca="false">Assumptions!$D$19*(1+Assumptions!$F$19)^((Assumptions!$C$5-Assumptions!$C$4)/365)</f>
        <v>262.190538254849</v>
      </c>
      <c r="H38" s="40" t="n">
        <f aca="false">E38*G38</f>
        <v>13046.7639343024</v>
      </c>
      <c r="I38" s="48" t="n">
        <f aca="false">IF(F38&lt;365,Assumptions!$G$19,IF(F38&lt;=730,Assumptions!$H$19,Assumptions!$I$19))</f>
        <v>0</v>
      </c>
      <c r="J38" s="40" t="n">
        <f aca="false">H38*I38</f>
        <v>0</v>
      </c>
      <c r="K38" s="40" t="n">
        <f aca="false">H38-J38</f>
        <v>13046.7639343024</v>
      </c>
      <c r="L38" s="40" t="n">
        <f aca="false">K38-C38</f>
        <v>8046.76393430239</v>
      </c>
      <c r="M38" s="38" t="str">
        <f aca="false">IF(F38&gt;365,"LTCG","STCG")</f>
        <v>LTCG</v>
      </c>
      <c r="N38" s="48" t="n">
        <f aca="false">IF(M38="LTCG",Assumptions!$C$12,Assumptions!$C$11)</f>
        <v>0.125</v>
      </c>
      <c r="O38" s="38" t="str">
        <f aca="false">IF(M38="STCG",MAX(L38,0)*Assumptions!$C$11,"agg. below")</f>
        <v>agg. below</v>
      </c>
    </row>
    <row r="39" customFormat="false" ht="15" hidden="false" customHeight="false" outlineLevel="1" collapsed="false">
      <c r="A39" s="33" t="str">
        <f aca="false">TEXT(SIP_Fund1_PPFAS!B37,"mmm-yyyy")</f>
        <v>Sep-2027</v>
      </c>
      <c r="B39" s="34" t="n">
        <f aca="false">SIP_Fund1_PPFAS!B37</f>
        <v>46631</v>
      </c>
      <c r="C39" s="35" t="n">
        <f aca="false">SIP_Fund1_PPFAS!C37</f>
        <v>5000</v>
      </c>
      <c r="D39" s="36" t="n">
        <f aca="false">SIP_Fund1_PPFAS!D37</f>
        <v>101.452879012646</v>
      </c>
      <c r="E39" s="37" t="n">
        <f aca="false">SIP_Fund1_PPFAS!E37</f>
        <v>49.2839636357364</v>
      </c>
      <c r="F39" s="33" t="n">
        <f aca="false">Assumptions!$C$5-B39</f>
        <v>3058</v>
      </c>
      <c r="G39" s="36" t="n">
        <f aca="false">Assumptions!$D$19*(1+Assumptions!$F$19)^((Assumptions!$C$5-Assumptions!$C$4)/365)</f>
        <v>262.190538254849</v>
      </c>
      <c r="H39" s="35" t="n">
        <f aca="false">E39*G39</f>
        <v>12921.7889529861</v>
      </c>
      <c r="I39" s="47" t="n">
        <f aca="false">IF(F39&lt;365,Assumptions!$G$19,IF(F39&lt;=730,Assumptions!$H$19,Assumptions!$I$19))</f>
        <v>0</v>
      </c>
      <c r="J39" s="35" t="n">
        <f aca="false">H39*I39</f>
        <v>0</v>
      </c>
      <c r="K39" s="35" t="n">
        <f aca="false">H39-J39</f>
        <v>12921.7889529861</v>
      </c>
      <c r="L39" s="35" t="n">
        <f aca="false">K39-C39</f>
        <v>7921.78895298614</v>
      </c>
      <c r="M39" s="33" t="str">
        <f aca="false">IF(F39&gt;365,"LTCG","STCG")</f>
        <v>LTCG</v>
      </c>
      <c r="N39" s="47" t="n">
        <f aca="false">IF(M39="LTCG",Assumptions!$C$12,Assumptions!$C$11)</f>
        <v>0.125</v>
      </c>
      <c r="O39" s="33" t="str">
        <f aca="false">IF(M39="STCG",MAX(L39,0)*Assumptions!$C$11,"agg. below")</f>
        <v>agg. below</v>
      </c>
    </row>
    <row r="40" customFormat="false" ht="15" hidden="false" customHeight="false" outlineLevel="1" collapsed="false">
      <c r="A40" s="38" t="str">
        <f aca="false">TEXT(SIP_Fund1_PPFAS!B38,"mmm-yyyy")</f>
        <v>Oct-2027</v>
      </c>
      <c r="B40" s="39" t="n">
        <f aca="false">SIP_Fund1_PPFAS!B38</f>
        <v>46661</v>
      </c>
      <c r="C40" s="40" t="n">
        <f aca="false">SIP_Fund1_PPFAS!C38</f>
        <v>5000</v>
      </c>
      <c r="D40" s="41" t="n">
        <f aca="false">SIP_Fund1_PPFAS!D38</f>
        <v>102.402295666162</v>
      </c>
      <c r="E40" s="42" t="n">
        <f aca="false">SIP_Fund1_PPFAS!E38</f>
        <v>48.8270303656112</v>
      </c>
      <c r="F40" s="38" t="n">
        <f aca="false">Assumptions!$C$5-B40</f>
        <v>3028</v>
      </c>
      <c r="G40" s="41" t="n">
        <f aca="false">Assumptions!$D$19*(1+Assumptions!$F$19)^((Assumptions!$C$5-Assumptions!$C$4)/365)</f>
        <v>262.190538254849</v>
      </c>
      <c r="H40" s="40" t="n">
        <f aca="false">E40*G40</f>
        <v>12801.9853729455</v>
      </c>
      <c r="I40" s="48" t="n">
        <f aca="false">IF(F40&lt;365,Assumptions!$G$19,IF(F40&lt;=730,Assumptions!$H$19,Assumptions!$I$19))</f>
        <v>0</v>
      </c>
      <c r="J40" s="40" t="n">
        <f aca="false">H40*I40</f>
        <v>0</v>
      </c>
      <c r="K40" s="40" t="n">
        <f aca="false">H40-J40</f>
        <v>12801.9853729455</v>
      </c>
      <c r="L40" s="40" t="n">
        <f aca="false">K40-C40</f>
        <v>7801.98537294546</v>
      </c>
      <c r="M40" s="38" t="str">
        <f aca="false">IF(F40&gt;365,"LTCG","STCG")</f>
        <v>LTCG</v>
      </c>
      <c r="N40" s="48" t="n">
        <f aca="false">IF(M40="LTCG",Assumptions!$C$12,Assumptions!$C$11)</f>
        <v>0.125</v>
      </c>
      <c r="O40" s="38" t="str">
        <f aca="false">IF(M40="STCG",MAX(L40,0)*Assumptions!$C$11,"agg. below")</f>
        <v>agg. below</v>
      </c>
    </row>
    <row r="41" customFormat="false" ht="15" hidden="false" customHeight="false" outlineLevel="1" collapsed="false">
      <c r="A41" s="33" t="str">
        <f aca="false">TEXT(SIP_Fund1_PPFAS!B39,"mmm-yyyy")</f>
        <v>Nov-2027</v>
      </c>
      <c r="B41" s="34" t="n">
        <f aca="false">SIP_Fund1_PPFAS!B39</f>
        <v>46692</v>
      </c>
      <c r="C41" s="35" t="n">
        <f aca="false">SIP_Fund1_PPFAS!C39</f>
        <v>5000</v>
      </c>
      <c r="D41" s="36" t="n">
        <f aca="false">SIP_Fund1_PPFAS!D39</f>
        <v>103.392694521474</v>
      </c>
      <c r="E41" s="37" t="n">
        <f aca="false">SIP_Fund1_PPFAS!E39</f>
        <v>48.3593161310011</v>
      </c>
      <c r="F41" s="33" t="n">
        <f aca="false">Assumptions!$C$5-B41</f>
        <v>2997</v>
      </c>
      <c r="G41" s="36" t="n">
        <f aca="false">Assumptions!$D$19*(1+Assumptions!$F$19)^((Assumptions!$C$5-Assumptions!$C$4)/365)</f>
        <v>262.190538254849</v>
      </c>
      <c r="H41" s="35" t="n">
        <f aca="false">E41*G41</f>
        <v>12679.3551260236</v>
      </c>
      <c r="I41" s="47" t="n">
        <f aca="false">IF(F41&lt;365,Assumptions!$G$19,IF(F41&lt;=730,Assumptions!$H$19,Assumptions!$I$19))</f>
        <v>0</v>
      </c>
      <c r="J41" s="35" t="n">
        <f aca="false">H41*I41</f>
        <v>0</v>
      </c>
      <c r="K41" s="35" t="n">
        <f aca="false">H41-J41</f>
        <v>12679.3551260236</v>
      </c>
      <c r="L41" s="35" t="n">
        <f aca="false">K41-C41</f>
        <v>7679.35512602359</v>
      </c>
      <c r="M41" s="33" t="str">
        <f aca="false">IF(F41&gt;365,"LTCG","STCG")</f>
        <v>LTCG</v>
      </c>
      <c r="N41" s="47" t="n">
        <f aca="false">IF(M41="LTCG",Assumptions!$C$12,Assumptions!$C$11)</f>
        <v>0.125</v>
      </c>
      <c r="O41" s="33" t="str">
        <f aca="false">IF(M41="STCG",MAX(L41,0)*Assumptions!$C$11,"agg. below")</f>
        <v>agg. below</v>
      </c>
    </row>
    <row r="42" customFormat="false" ht="15" hidden="false" customHeight="false" outlineLevel="1" collapsed="false">
      <c r="A42" s="38" t="str">
        <f aca="false">TEXT(SIP_Fund1_PPFAS!B40,"mmm-yyyy")</f>
        <v>Dec-2027</v>
      </c>
      <c r="B42" s="39" t="n">
        <f aca="false">SIP_Fund1_PPFAS!B40</f>
        <v>46722</v>
      </c>
      <c r="C42" s="40" t="n">
        <f aca="false">SIP_Fund1_PPFAS!C40</f>
        <v>5000</v>
      </c>
      <c r="D42" s="41" t="n">
        <f aca="false">SIP_Fund1_PPFAS!D40</f>
        <v>104.360264362626</v>
      </c>
      <c r="E42" s="42" t="n">
        <f aca="false">SIP_Fund1_PPFAS!E40</f>
        <v>47.9109556739551</v>
      </c>
      <c r="F42" s="38" t="n">
        <f aca="false">Assumptions!$C$5-B42</f>
        <v>2967</v>
      </c>
      <c r="G42" s="41" t="n">
        <f aca="false">Assumptions!$D$19*(1+Assumptions!$F$19)^((Assumptions!$C$5-Assumptions!$C$4)/365)</f>
        <v>262.190538254849</v>
      </c>
      <c r="H42" s="40" t="n">
        <f aca="false">E42*G42</f>
        <v>12561.7992564585</v>
      </c>
      <c r="I42" s="48" t="n">
        <f aca="false">IF(F42&lt;365,Assumptions!$G$19,IF(F42&lt;=730,Assumptions!$H$19,Assumptions!$I$19))</f>
        <v>0</v>
      </c>
      <c r="J42" s="40" t="n">
        <f aca="false">H42*I42</f>
        <v>0</v>
      </c>
      <c r="K42" s="40" t="n">
        <f aca="false">H42-J42</f>
        <v>12561.7992564585</v>
      </c>
      <c r="L42" s="40" t="n">
        <f aca="false">K42-C42</f>
        <v>7561.79925645851</v>
      </c>
      <c r="M42" s="38" t="str">
        <f aca="false">IF(F42&gt;365,"LTCG","STCG")</f>
        <v>LTCG</v>
      </c>
      <c r="N42" s="48" t="n">
        <f aca="false">IF(M42="LTCG",Assumptions!$C$12,Assumptions!$C$11)</f>
        <v>0.125</v>
      </c>
      <c r="O42" s="38" t="str">
        <f aca="false">IF(M42="STCG",MAX(L42,0)*Assumptions!$C$11,"agg. below")</f>
        <v>agg. below</v>
      </c>
    </row>
    <row r="43" customFormat="false" ht="15" hidden="false" customHeight="false" outlineLevel="1" collapsed="false">
      <c r="A43" s="33" t="str">
        <f aca="false">TEXT(SIP_Fund1_PPFAS!B41,"mmm-yyyy")</f>
        <v>Jan-2028</v>
      </c>
      <c r="B43" s="34" t="n">
        <f aca="false">SIP_Fund1_PPFAS!B41</f>
        <v>46753</v>
      </c>
      <c r="C43" s="35" t="n">
        <f aca="false">SIP_Fund1_PPFAS!C41</f>
        <v>6000</v>
      </c>
      <c r="D43" s="36" t="n">
        <f aca="false">SIP_Fund1_PPFAS!D41</f>
        <v>105.3696</v>
      </c>
      <c r="E43" s="37" t="n">
        <f aca="false">SIP_Fund1_PPFAS!E41</f>
        <v>56.9424198250729</v>
      </c>
      <c r="F43" s="33" t="n">
        <f aca="false">Assumptions!$C$5-B43</f>
        <v>2936</v>
      </c>
      <c r="G43" s="36" t="n">
        <f aca="false">Assumptions!$D$19*(1+Assumptions!$F$19)^((Assumptions!$C$5-Assumptions!$C$4)/365)</f>
        <v>262.190538254849</v>
      </c>
      <c r="H43" s="35" t="n">
        <f aca="false">E43*G43</f>
        <v>14929.7637034694</v>
      </c>
      <c r="I43" s="47" t="n">
        <f aca="false">IF(F43&lt;365,Assumptions!$G$19,IF(F43&lt;=730,Assumptions!$H$19,Assumptions!$I$19))</f>
        <v>0</v>
      </c>
      <c r="J43" s="35" t="n">
        <f aca="false">H43*I43</f>
        <v>0</v>
      </c>
      <c r="K43" s="35" t="n">
        <f aca="false">H43-J43</f>
        <v>14929.7637034694</v>
      </c>
      <c r="L43" s="35" t="n">
        <f aca="false">K43-C43</f>
        <v>8929.76370346944</v>
      </c>
      <c r="M43" s="33" t="str">
        <f aca="false">IF(F43&gt;365,"LTCG","STCG")</f>
        <v>LTCG</v>
      </c>
      <c r="N43" s="47" t="n">
        <f aca="false">IF(M43="LTCG",Assumptions!$C$12,Assumptions!$C$11)</f>
        <v>0.125</v>
      </c>
      <c r="O43" s="33" t="str">
        <f aca="false">IF(M43="STCG",MAX(L43,0)*Assumptions!$C$11,"agg. below")</f>
        <v>agg. below</v>
      </c>
    </row>
    <row r="44" customFormat="false" ht="15" hidden="false" customHeight="false" outlineLevel="1" collapsed="false">
      <c r="A44" s="38" t="str">
        <f aca="false">TEXT(SIP_Fund1_PPFAS!B42,"mmm-yyyy")</f>
        <v>Feb-2028</v>
      </c>
      <c r="B44" s="39" t="n">
        <f aca="false">SIP_Fund1_PPFAS!B42</f>
        <v>46784</v>
      </c>
      <c r="C44" s="40" t="n">
        <f aca="false">SIP_Fund1_PPFAS!C42</f>
        <v>6000</v>
      </c>
      <c r="D44" s="41" t="n">
        <f aca="false">SIP_Fund1_PPFAS!D42</f>
        <v>106.38869757536</v>
      </c>
      <c r="E44" s="42" t="n">
        <f aca="false">SIP_Fund1_PPFAS!E42</f>
        <v>56.3969682564252</v>
      </c>
      <c r="F44" s="38" t="n">
        <f aca="false">Assumptions!$C$5-B44</f>
        <v>2905</v>
      </c>
      <c r="G44" s="41" t="n">
        <f aca="false">Assumptions!$D$19*(1+Assumptions!$F$19)^((Assumptions!$C$5-Assumptions!$C$4)/365)</f>
        <v>262.190538254849</v>
      </c>
      <c r="H44" s="40" t="n">
        <f aca="false">E44*G44</f>
        <v>14786.7514630938</v>
      </c>
      <c r="I44" s="48" t="n">
        <f aca="false">IF(F44&lt;365,Assumptions!$G$19,IF(F44&lt;=730,Assumptions!$H$19,Assumptions!$I$19))</f>
        <v>0</v>
      </c>
      <c r="J44" s="40" t="n">
        <f aca="false">H44*I44</f>
        <v>0</v>
      </c>
      <c r="K44" s="40" t="n">
        <f aca="false">H44-J44</f>
        <v>14786.7514630938</v>
      </c>
      <c r="L44" s="40" t="n">
        <f aca="false">K44-C44</f>
        <v>8786.75146309376</v>
      </c>
      <c r="M44" s="38" t="str">
        <f aca="false">IF(F44&gt;365,"LTCG","STCG")</f>
        <v>LTCG</v>
      </c>
      <c r="N44" s="48" t="n">
        <f aca="false">IF(M44="LTCG",Assumptions!$C$12,Assumptions!$C$11)</f>
        <v>0.125</v>
      </c>
      <c r="O44" s="38" t="str">
        <f aca="false">IF(M44="STCG",MAX(L44,0)*Assumptions!$C$11,"agg. below")</f>
        <v>agg. below</v>
      </c>
    </row>
    <row r="45" customFormat="false" ht="15" hidden="false" customHeight="false" outlineLevel="1" collapsed="false">
      <c r="A45" s="33" t="str">
        <f aca="false">TEXT(SIP_Fund1_PPFAS!B43,"mmm-yyyy")</f>
        <v>Mar-2028</v>
      </c>
      <c r="B45" s="34" t="n">
        <f aca="false">SIP_Fund1_PPFAS!B43</f>
        <v>46813</v>
      </c>
      <c r="C45" s="35" t="n">
        <f aca="false">SIP_Fund1_PPFAS!C43</f>
        <v>6000</v>
      </c>
      <c r="D45" s="36" t="n">
        <f aca="false">SIP_Fund1_PPFAS!D43</f>
        <v>107.350968093075</v>
      </c>
      <c r="E45" s="37" t="n">
        <f aca="false">SIP_Fund1_PPFAS!E43</f>
        <v>55.8914382103933</v>
      </c>
      <c r="F45" s="33" t="n">
        <f aca="false">Assumptions!$C$5-B45</f>
        <v>2876</v>
      </c>
      <c r="G45" s="36" t="n">
        <f aca="false">Assumptions!$D$19*(1+Assumptions!$F$19)^((Assumptions!$C$5-Assumptions!$C$4)/365)</f>
        <v>262.190538254849</v>
      </c>
      <c r="H45" s="35" t="n">
        <f aca="false">E45*G45</f>
        <v>14654.2062682207</v>
      </c>
      <c r="I45" s="47" t="n">
        <f aca="false">IF(F45&lt;365,Assumptions!$G$19,IF(F45&lt;=730,Assumptions!$H$19,Assumptions!$I$19))</f>
        <v>0</v>
      </c>
      <c r="J45" s="35" t="n">
        <f aca="false">H45*I45</f>
        <v>0</v>
      </c>
      <c r="K45" s="35" t="n">
        <f aca="false">H45-J45</f>
        <v>14654.2062682207</v>
      </c>
      <c r="L45" s="35" t="n">
        <f aca="false">K45-C45</f>
        <v>8654.20626822066</v>
      </c>
      <c r="M45" s="33" t="str">
        <f aca="false">IF(F45&gt;365,"LTCG","STCG")</f>
        <v>LTCG</v>
      </c>
      <c r="N45" s="47" t="n">
        <f aca="false">IF(M45="LTCG",Assumptions!$C$12,Assumptions!$C$11)</f>
        <v>0.125</v>
      </c>
      <c r="O45" s="33" t="str">
        <f aca="false">IF(M45="STCG",MAX(L45,0)*Assumptions!$C$11,"agg. below")</f>
        <v>agg. below</v>
      </c>
    </row>
    <row r="46" customFormat="false" ht="15" hidden="false" customHeight="false" outlineLevel="1" collapsed="false">
      <c r="A46" s="38" t="str">
        <f aca="false">TEXT(SIP_Fund1_PPFAS!B44,"mmm-yyyy")</f>
        <v>Apr-2028</v>
      </c>
      <c r="B46" s="39" t="n">
        <f aca="false">SIP_Fund1_PPFAS!B44</f>
        <v>46844</v>
      </c>
      <c r="C46" s="40" t="n">
        <f aca="false">SIP_Fund1_PPFAS!C44</f>
        <v>6000</v>
      </c>
      <c r="D46" s="41" t="n">
        <f aca="false">SIP_Fund1_PPFAS!D44</f>
        <v>108.389228761201</v>
      </c>
      <c r="E46" s="42" t="n">
        <f aca="false">SIP_Fund1_PPFAS!E44</f>
        <v>55.3560539970163</v>
      </c>
      <c r="F46" s="38" t="n">
        <f aca="false">Assumptions!$C$5-B46</f>
        <v>2845</v>
      </c>
      <c r="G46" s="41" t="n">
        <f aca="false">Assumptions!$D$19*(1+Assumptions!$F$19)^((Assumptions!$C$5-Assumptions!$C$4)/365)</f>
        <v>262.190538254849</v>
      </c>
      <c r="H46" s="40" t="n">
        <f aca="false">E46*G46</f>
        <v>14513.8335931422</v>
      </c>
      <c r="I46" s="48" t="n">
        <f aca="false">IF(F46&lt;365,Assumptions!$G$19,IF(F46&lt;=730,Assumptions!$H$19,Assumptions!$I$19))</f>
        <v>0</v>
      </c>
      <c r="J46" s="40" t="n">
        <f aca="false">H46*I46</f>
        <v>0</v>
      </c>
      <c r="K46" s="40" t="n">
        <f aca="false">H46-J46</f>
        <v>14513.8335931422</v>
      </c>
      <c r="L46" s="40" t="n">
        <f aca="false">K46-C46</f>
        <v>8513.83359314218</v>
      </c>
      <c r="M46" s="38" t="str">
        <f aca="false">IF(F46&gt;365,"LTCG","STCG")</f>
        <v>LTCG</v>
      </c>
      <c r="N46" s="48" t="n">
        <f aca="false">IF(M46="LTCG",Assumptions!$C$12,Assumptions!$C$11)</f>
        <v>0.125</v>
      </c>
      <c r="O46" s="38" t="str">
        <f aca="false">IF(M46="STCG",MAX(L46,0)*Assumptions!$C$11,"agg. below")</f>
        <v>agg. below</v>
      </c>
    </row>
    <row r="47" customFormat="false" ht="15" hidden="false" customHeight="false" outlineLevel="1" collapsed="false">
      <c r="A47" s="33" t="str">
        <f aca="false">TEXT(SIP_Fund1_PPFAS!B45,"mmm-yyyy")</f>
        <v>May-2028</v>
      </c>
      <c r="B47" s="34" t="n">
        <f aca="false">SIP_Fund1_PPFAS!B45</f>
        <v>46874</v>
      </c>
      <c r="C47" s="35" t="n">
        <f aca="false">SIP_Fund1_PPFAS!C45</f>
        <v>6000</v>
      </c>
      <c r="D47" s="36" t="n">
        <f aca="false">SIP_Fund1_PPFAS!D45</f>
        <v>109.403557184891</v>
      </c>
      <c r="E47" s="37" t="n">
        <f aca="false">SIP_Fund1_PPFAS!E45</f>
        <v>54.8428237105678</v>
      </c>
      <c r="F47" s="33" t="n">
        <f aca="false">Assumptions!$C$5-B47</f>
        <v>2815</v>
      </c>
      <c r="G47" s="36" t="n">
        <f aca="false">Assumptions!$D$19*(1+Assumptions!$F$19)^((Assumptions!$C$5-Assumptions!$C$4)/365)</f>
        <v>262.190538254849</v>
      </c>
      <c r="H47" s="35" t="n">
        <f aca="false">E47*G47</f>
        <v>14379.2694680896</v>
      </c>
      <c r="I47" s="47" t="n">
        <f aca="false">IF(F47&lt;365,Assumptions!$G$19,IF(F47&lt;=730,Assumptions!$H$19,Assumptions!$I$19))</f>
        <v>0</v>
      </c>
      <c r="J47" s="35" t="n">
        <f aca="false">H47*I47</f>
        <v>0</v>
      </c>
      <c r="K47" s="35" t="n">
        <f aca="false">H47-J47</f>
        <v>14379.2694680896</v>
      </c>
      <c r="L47" s="35" t="n">
        <f aca="false">K47-C47</f>
        <v>8379.26946808957</v>
      </c>
      <c r="M47" s="33" t="str">
        <f aca="false">IF(F47&gt;365,"LTCG","STCG")</f>
        <v>LTCG</v>
      </c>
      <c r="N47" s="47" t="n">
        <f aca="false">IF(M47="LTCG",Assumptions!$C$12,Assumptions!$C$11)</f>
        <v>0.125</v>
      </c>
      <c r="O47" s="33" t="str">
        <f aca="false">IF(M47="STCG",MAX(L47,0)*Assumptions!$C$11,"agg. below")</f>
        <v>agg. below</v>
      </c>
    </row>
    <row r="48" customFormat="false" ht="15" hidden="false" customHeight="false" outlineLevel="1" collapsed="false">
      <c r="A48" s="38" t="str">
        <f aca="false">TEXT(SIP_Fund1_PPFAS!B46,"mmm-yyyy")</f>
        <v>Jun-2028</v>
      </c>
      <c r="B48" s="39" t="n">
        <f aca="false">SIP_Fund1_PPFAS!B46</f>
        <v>46905</v>
      </c>
      <c r="C48" s="40" t="n">
        <f aca="false">SIP_Fund1_PPFAS!C46</f>
        <v>6000</v>
      </c>
      <c r="D48" s="41" t="n">
        <f aca="false">SIP_Fund1_PPFAS!D46</f>
        <v>110.461669770142</v>
      </c>
      <c r="E48" s="42" t="n">
        <f aca="false">SIP_Fund1_PPFAS!E46</f>
        <v>54.3174841778628</v>
      </c>
      <c r="F48" s="38" t="n">
        <f aca="false">Assumptions!$C$5-B48</f>
        <v>2784</v>
      </c>
      <c r="G48" s="41" t="n">
        <f aca="false">Assumptions!$D$19*(1+Assumptions!$F$19)^((Assumptions!$C$5-Assumptions!$C$4)/365)</f>
        <v>262.190538254849</v>
      </c>
      <c r="H48" s="40" t="n">
        <f aca="false">E48*G48</f>
        <v>14241.5304132431</v>
      </c>
      <c r="I48" s="48" t="n">
        <f aca="false">IF(F48&lt;365,Assumptions!$G$19,IF(F48&lt;=730,Assumptions!$H$19,Assumptions!$I$19))</f>
        <v>0</v>
      </c>
      <c r="J48" s="40" t="n">
        <f aca="false">H48*I48</f>
        <v>0</v>
      </c>
      <c r="K48" s="40" t="n">
        <f aca="false">H48-J48</f>
        <v>14241.5304132431</v>
      </c>
      <c r="L48" s="40" t="n">
        <f aca="false">K48-C48</f>
        <v>8241.5304132431</v>
      </c>
      <c r="M48" s="38" t="str">
        <f aca="false">IF(F48&gt;365,"LTCG","STCG")</f>
        <v>LTCG</v>
      </c>
      <c r="N48" s="48" t="n">
        <f aca="false">IF(M48="LTCG",Assumptions!$C$12,Assumptions!$C$11)</f>
        <v>0.125</v>
      </c>
      <c r="O48" s="38" t="str">
        <f aca="false">IF(M48="STCG",MAX(L48,0)*Assumptions!$C$11,"agg. below")</f>
        <v>agg. below</v>
      </c>
    </row>
    <row r="49" customFormat="false" ht="15" hidden="false" customHeight="false" outlineLevel="1" collapsed="false">
      <c r="A49" s="33" t="str">
        <f aca="false">TEXT(SIP_Fund1_PPFAS!B47,"mmm-yyyy")</f>
        <v>Jul-2028</v>
      </c>
      <c r="B49" s="34" t="n">
        <f aca="false">SIP_Fund1_PPFAS!B47</f>
        <v>46935</v>
      </c>
      <c r="C49" s="35" t="n">
        <f aca="false">SIP_Fund1_PPFAS!C47</f>
        <v>6000</v>
      </c>
      <c r="D49" s="36" t="n">
        <f aca="false">SIP_Fund1_PPFAS!D47</f>
        <v>111.495392517842</v>
      </c>
      <c r="E49" s="37" t="n">
        <f aca="false">SIP_Fund1_PPFAS!E47</f>
        <v>53.8138829283</v>
      </c>
      <c r="F49" s="33" t="n">
        <f aca="false">Assumptions!$C$5-B49</f>
        <v>2754</v>
      </c>
      <c r="G49" s="36" t="n">
        <f aca="false">Assumptions!$D$19*(1+Assumptions!$F$19)^((Assumptions!$C$5-Assumptions!$C$4)/365)</f>
        <v>262.190538254849</v>
      </c>
      <c r="H49" s="35" t="n">
        <f aca="false">E49*G49</f>
        <v>14109.4909305544</v>
      </c>
      <c r="I49" s="47" t="n">
        <f aca="false">IF(F49&lt;365,Assumptions!$G$19,IF(F49&lt;=730,Assumptions!$H$19,Assumptions!$I$19))</f>
        <v>0</v>
      </c>
      <c r="J49" s="35" t="n">
        <f aca="false">H49*I49</f>
        <v>0</v>
      </c>
      <c r="K49" s="35" t="n">
        <f aca="false">H49-J49</f>
        <v>14109.4909305544</v>
      </c>
      <c r="L49" s="35" t="n">
        <f aca="false">K49-C49</f>
        <v>8109.49093055441</v>
      </c>
      <c r="M49" s="33" t="str">
        <f aca="false">IF(F49&gt;365,"LTCG","STCG")</f>
        <v>LTCG</v>
      </c>
      <c r="N49" s="47" t="n">
        <f aca="false">IF(M49="LTCG",Assumptions!$C$12,Assumptions!$C$11)</f>
        <v>0.125</v>
      </c>
      <c r="O49" s="33" t="str">
        <f aca="false">IF(M49="STCG",MAX(L49,0)*Assumptions!$C$11,"agg. below")</f>
        <v>agg. below</v>
      </c>
    </row>
    <row r="50" customFormat="false" ht="15" hidden="false" customHeight="false" outlineLevel="1" collapsed="false">
      <c r="A50" s="38" t="str">
        <f aca="false">TEXT(SIP_Fund1_PPFAS!B48,"mmm-yyyy")</f>
        <v>Aug-2028</v>
      </c>
      <c r="B50" s="39" t="n">
        <f aca="false">SIP_Fund1_PPFAS!B48</f>
        <v>46966</v>
      </c>
      <c r="C50" s="40" t="n">
        <f aca="false">SIP_Fund1_PPFAS!C48</f>
        <v>6000</v>
      </c>
      <c r="D50" s="41" t="n">
        <f aca="false">SIP_Fund1_PPFAS!D48</f>
        <v>112.573736596008</v>
      </c>
      <c r="E50" s="42" t="n">
        <f aca="false">SIP_Fund1_PPFAS!E48</f>
        <v>53.2983996216819</v>
      </c>
      <c r="F50" s="38" t="n">
        <f aca="false">Assumptions!$C$5-B50</f>
        <v>2723</v>
      </c>
      <c r="G50" s="41" t="n">
        <f aca="false">Assumptions!$D$19*(1+Assumptions!$F$19)^((Assumptions!$C$5-Assumptions!$C$4)/365)</f>
        <v>262.190538254849</v>
      </c>
      <c r="H50" s="40" t="n">
        <f aca="false">E50*G50</f>
        <v>13974.3360849308</v>
      </c>
      <c r="I50" s="48" t="n">
        <f aca="false">IF(F50&lt;365,Assumptions!$G$19,IF(F50&lt;=730,Assumptions!$H$19,Assumptions!$I$19))</f>
        <v>0</v>
      </c>
      <c r="J50" s="40" t="n">
        <f aca="false">H50*I50</f>
        <v>0</v>
      </c>
      <c r="K50" s="40" t="n">
        <f aca="false">H50-J50</f>
        <v>13974.3360849308</v>
      </c>
      <c r="L50" s="40" t="n">
        <f aca="false">K50-C50</f>
        <v>7974.33608493083</v>
      </c>
      <c r="M50" s="38" t="str">
        <f aca="false">IF(F50&gt;365,"LTCG","STCG")</f>
        <v>LTCG</v>
      </c>
      <c r="N50" s="48" t="n">
        <f aca="false">IF(M50="LTCG",Assumptions!$C$12,Assumptions!$C$11)</f>
        <v>0.125</v>
      </c>
      <c r="O50" s="38" t="str">
        <f aca="false">IF(M50="STCG",MAX(L50,0)*Assumptions!$C$11,"agg. below")</f>
        <v>agg. below</v>
      </c>
    </row>
    <row r="51" customFormat="false" ht="15" hidden="false" customHeight="false" outlineLevel="1" collapsed="false">
      <c r="A51" s="33" t="str">
        <f aca="false">TEXT(SIP_Fund1_PPFAS!B49,"mmm-yyyy")</f>
        <v>Sep-2028</v>
      </c>
      <c r="B51" s="34" t="n">
        <f aca="false">SIP_Fund1_PPFAS!B49</f>
        <v>46997</v>
      </c>
      <c r="C51" s="35" t="n">
        <f aca="false">SIP_Fund1_PPFAS!C49</f>
        <v>6000</v>
      </c>
      <c r="D51" s="36" t="n">
        <f aca="false">SIP_Fund1_PPFAS!D49</f>
        <v>113.662510037439</v>
      </c>
      <c r="E51" s="37" t="n">
        <f aca="false">SIP_Fund1_PPFAS!E49</f>
        <v>52.7878541308271</v>
      </c>
      <c r="F51" s="33" t="n">
        <f aca="false">Assumptions!$C$5-B51</f>
        <v>2692</v>
      </c>
      <c r="G51" s="36" t="n">
        <f aca="false">Assumptions!$D$19*(1+Assumptions!$F$19)^((Assumptions!$C$5-Assumptions!$C$4)/365)</f>
        <v>262.190538254849</v>
      </c>
      <c r="H51" s="35" t="n">
        <f aca="false">E51*G51</f>
        <v>13840.47588788</v>
      </c>
      <c r="I51" s="47" t="n">
        <f aca="false">IF(F51&lt;365,Assumptions!$G$19,IF(F51&lt;=730,Assumptions!$H$19,Assumptions!$I$19))</f>
        <v>0</v>
      </c>
      <c r="J51" s="35" t="n">
        <f aca="false">H51*I51</f>
        <v>0</v>
      </c>
      <c r="K51" s="35" t="n">
        <f aca="false">H51-J51</f>
        <v>13840.47588788</v>
      </c>
      <c r="L51" s="35" t="n">
        <f aca="false">K51-C51</f>
        <v>7840.47588788001</v>
      </c>
      <c r="M51" s="33" t="str">
        <f aca="false">IF(F51&gt;365,"LTCG","STCG")</f>
        <v>LTCG</v>
      </c>
      <c r="N51" s="47" t="n">
        <f aca="false">IF(M51="LTCG",Assumptions!$C$12,Assumptions!$C$11)</f>
        <v>0.125</v>
      </c>
      <c r="O51" s="33" t="str">
        <f aca="false">IF(M51="STCG",MAX(L51,0)*Assumptions!$C$11,"agg. below")</f>
        <v>agg. below</v>
      </c>
    </row>
    <row r="52" customFormat="false" ht="15" hidden="false" customHeight="false" outlineLevel="1" collapsed="false">
      <c r="A52" s="38" t="str">
        <f aca="false">TEXT(SIP_Fund1_PPFAS!B50,"mmm-yyyy")</f>
        <v>Oct-2028</v>
      </c>
      <c r="B52" s="39" t="n">
        <f aca="false">SIP_Fund1_PPFAS!B50</f>
        <v>47027</v>
      </c>
      <c r="C52" s="40" t="n">
        <f aca="false">SIP_Fund1_PPFAS!C50</f>
        <v>6000</v>
      </c>
      <c r="D52" s="41" t="n">
        <f aca="false">SIP_Fund1_PPFAS!D50</f>
        <v>114.72618689866</v>
      </c>
      <c r="E52" s="42" t="n">
        <f aca="false">SIP_Fund1_PPFAS!E50</f>
        <v>52.2984347531737</v>
      </c>
      <c r="F52" s="38" t="n">
        <f aca="false">Assumptions!$C$5-B52</f>
        <v>2662</v>
      </c>
      <c r="G52" s="41" t="n">
        <f aca="false">Assumptions!$D$19*(1+Assumptions!$F$19)^((Assumptions!$C$5-Assumptions!$C$4)/365)</f>
        <v>262.190538254849</v>
      </c>
      <c r="H52" s="40" t="n">
        <f aca="false">E52*G52</f>
        <v>13712.1547578207</v>
      </c>
      <c r="I52" s="48" t="n">
        <f aca="false">IF(F52&lt;365,Assumptions!$G$19,IF(F52&lt;=730,Assumptions!$H$19,Assumptions!$I$19))</f>
        <v>0</v>
      </c>
      <c r="J52" s="40" t="n">
        <f aca="false">H52*I52</f>
        <v>0</v>
      </c>
      <c r="K52" s="40" t="n">
        <f aca="false">H52-J52</f>
        <v>13712.1547578207</v>
      </c>
      <c r="L52" s="40" t="n">
        <f aca="false">K52-C52</f>
        <v>7712.15475782073</v>
      </c>
      <c r="M52" s="38" t="str">
        <f aca="false">IF(F52&gt;365,"LTCG","STCG")</f>
        <v>LTCG</v>
      </c>
      <c r="N52" s="48" t="n">
        <f aca="false">IF(M52="LTCG",Assumptions!$C$12,Assumptions!$C$11)</f>
        <v>0.125</v>
      </c>
      <c r="O52" s="38" t="str">
        <f aca="false">IF(M52="STCG",MAX(L52,0)*Assumptions!$C$11,"agg. below")</f>
        <v>agg. below</v>
      </c>
    </row>
    <row r="53" customFormat="false" ht="15" hidden="false" customHeight="false" outlineLevel="1" collapsed="false">
      <c r="A53" s="33" t="str">
        <f aca="false">TEXT(SIP_Fund1_PPFAS!B51,"mmm-yyyy")</f>
        <v>Nov-2028</v>
      </c>
      <c r="B53" s="34" t="n">
        <f aca="false">SIP_Fund1_PPFAS!B51</f>
        <v>47058</v>
      </c>
      <c r="C53" s="35" t="n">
        <f aca="false">SIP_Fund1_PPFAS!C51</f>
        <v>6000</v>
      </c>
      <c r="D53" s="36" t="n">
        <f aca="false">SIP_Fund1_PPFAS!D51</f>
        <v>115.835778079596</v>
      </c>
      <c r="E53" s="37" t="n">
        <f aca="false">SIP_Fund1_PPFAS!E51</f>
        <v>51.7974679280622</v>
      </c>
      <c r="F53" s="33" t="n">
        <f aca="false">Assumptions!$C$5-B53</f>
        <v>2631</v>
      </c>
      <c r="G53" s="36" t="n">
        <f aca="false">Assumptions!$D$19*(1+Assumptions!$F$19)^((Assumptions!$C$5-Assumptions!$C$4)/365)</f>
        <v>262.190538254849</v>
      </c>
      <c r="H53" s="35" t="n">
        <f aca="false">E53*G53</f>
        <v>13580.8059962969</v>
      </c>
      <c r="I53" s="47" t="n">
        <f aca="false">IF(F53&lt;365,Assumptions!$G$19,IF(F53&lt;=730,Assumptions!$H$19,Assumptions!$I$19))</f>
        <v>0</v>
      </c>
      <c r="J53" s="35" t="n">
        <f aca="false">H53*I53</f>
        <v>0</v>
      </c>
      <c r="K53" s="35" t="n">
        <f aca="false">H53-J53</f>
        <v>13580.8059962969</v>
      </c>
      <c r="L53" s="35" t="n">
        <f aca="false">K53-C53</f>
        <v>7580.80599629691</v>
      </c>
      <c r="M53" s="33" t="str">
        <f aca="false">IF(F53&gt;365,"LTCG","STCG")</f>
        <v>LTCG</v>
      </c>
      <c r="N53" s="47" t="n">
        <f aca="false">IF(M53="LTCG",Assumptions!$C$12,Assumptions!$C$11)</f>
        <v>0.125</v>
      </c>
      <c r="O53" s="33" t="str">
        <f aca="false">IF(M53="STCG",MAX(L53,0)*Assumptions!$C$11,"agg. below")</f>
        <v>agg. below</v>
      </c>
    </row>
    <row r="54" customFormat="false" ht="15" hidden="false" customHeight="false" outlineLevel="1" collapsed="false">
      <c r="A54" s="38" t="str">
        <f aca="false">TEXT(SIP_Fund1_PPFAS!B52,"mmm-yyyy")</f>
        <v>Dec-2028</v>
      </c>
      <c r="B54" s="39" t="n">
        <f aca="false">SIP_Fund1_PPFAS!B52</f>
        <v>47088</v>
      </c>
      <c r="C54" s="40" t="n">
        <f aca="false">SIP_Fund1_PPFAS!C52</f>
        <v>6000</v>
      </c>
      <c r="D54" s="41" t="n">
        <f aca="false">SIP_Fund1_PPFAS!D52</f>
        <v>116.919792824689</v>
      </c>
      <c r="E54" s="42" t="n">
        <f aca="false">SIP_Fund1_PPFAS!E52</f>
        <v>51.3172308558269</v>
      </c>
      <c r="F54" s="38" t="n">
        <f aca="false">Assumptions!$C$5-B54</f>
        <v>2601</v>
      </c>
      <c r="G54" s="41" t="n">
        <f aca="false">Assumptions!$D$19*(1+Assumptions!$F$19)^((Assumptions!$C$5-Assumptions!$C$4)/365)</f>
        <v>262.190538254849</v>
      </c>
      <c r="H54" s="40" t="n">
        <f aca="false">E54*G54</f>
        <v>13454.8923798376</v>
      </c>
      <c r="I54" s="48" t="n">
        <f aca="false">IF(F54&lt;365,Assumptions!$G$19,IF(F54&lt;=730,Assumptions!$H$19,Assumptions!$I$19))</f>
        <v>0</v>
      </c>
      <c r="J54" s="40" t="n">
        <f aca="false">H54*I54</f>
        <v>0</v>
      </c>
      <c r="K54" s="40" t="n">
        <f aca="false">H54-J54</f>
        <v>13454.8923798376</v>
      </c>
      <c r="L54" s="40" t="n">
        <f aca="false">K54-C54</f>
        <v>7454.89237983761</v>
      </c>
      <c r="M54" s="38" t="str">
        <f aca="false">IF(F54&gt;365,"LTCG","STCG")</f>
        <v>LTCG</v>
      </c>
      <c r="N54" s="48" t="n">
        <f aca="false">IF(M54="LTCG",Assumptions!$C$12,Assumptions!$C$11)</f>
        <v>0.125</v>
      </c>
      <c r="O54" s="38" t="str">
        <f aca="false">IF(M54="STCG",MAX(L54,0)*Assumptions!$C$11,"agg. below")</f>
        <v>agg. below</v>
      </c>
    </row>
    <row r="55" customFormat="false" ht="15" hidden="false" customHeight="false" outlineLevel="1" collapsed="false">
      <c r="A55" s="33" t="str">
        <f aca="false">TEXT(SIP_Fund1_PPFAS!B53,"mmm-yyyy")</f>
        <v>Jan-2029</v>
      </c>
      <c r="B55" s="34" t="n">
        <f aca="false">SIP_Fund1_PPFAS!B53</f>
        <v>47119</v>
      </c>
      <c r="C55" s="35" t="n">
        <f aca="false">SIP_Fund1_PPFAS!C53</f>
        <v>7000</v>
      </c>
      <c r="D55" s="36" t="n">
        <f aca="false">SIP_Fund1_PPFAS!D53</f>
        <v>118.05059978779</v>
      </c>
      <c r="E55" s="37" t="n">
        <f aca="false">SIP_Fund1_PPFAS!E53</f>
        <v>59.296606815919</v>
      </c>
      <c r="F55" s="33" t="n">
        <f aca="false">Assumptions!$C$5-B55</f>
        <v>2570</v>
      </c>
      <c r="G55" s="36" t="n">
        <f aca="false">Assumptions!$D$19*(1+Assumptions!$F$19)^((Assumptions!$C$5-Assumptions!$C$4)/365)</f>
        <v>262.190538254849</v>
      </c>
      <c r="H55" s="35" t="n">
        <f aca="false">E55*G55</f>
        <v>15547.0092577519</v>
      </c>
      <c r="I55" s="47" t="n">
        <f aca="false">IF(F55&lt;365,Assumptions!$G$19,IF(F55&lt;=730,Assumptions!$H$19,Assumptions!$I$19))</f>
        <v>0</v>
      </c>
      <c r="J55" s="35" t="n">
        <f aca="false">H55*I55</f>
        <v>0</v>
      </c>
      <c r="K55" s="35" t="n">
        <f aca="false">H55-J55</f>
        <v>15547.0092577519</v>
      </c>
      <c r="L55" s="35" t="n">
        <f aca="false">K55-C55</f>
        <v>8547.00925775194</v>
      </c>
      <c r="M55" s="33" t="str">
        <f aca="false">IF(F55&gt;365,"LTCG","STCG")</f>
        <v>LTCG</v>
      </c>
      <c r="N55" s="47" t="n">
        <f aca="false">IF(M55="LTCG",Assumptions!$C$12,Assumptions!$C$11)</f>
        <v>0.125</v>
      </c>
      <c r="O55" s="33" t="str">
        <f aca="false">IF(M55="STCG",MAX(L55,0)*Assumptions!$C$11,"agg. below")</f>
        <v>agg. below</v>
      </c>
    </row>
    <row r="56" customFormat="false" ht="15" hidden="false" customHeight="false" outlineLevel="1" collapsed="false">
      <c r="A56" s="38" t="str">
        <f aca="false">TEXT(SIP_Fund1_PPFAS!B54,"mmm-yyyy")</f>
        <v>Feb-2029</v>
      </c>
      <c r="B56" s="39" t="n">
        <f aca="false">SIP_Fund1_PPFAS!B54</f>
        <v>47150</v>
      </c>
      <c r="C56" s="40" t="n">
        <f aca="false">SIP_Fund1_PPFAS!C54</f>
        <v>7000</v>
      </c>
      <c r="D56" s="41" t="n">
        <f aca="false">SIP_Fund1_PPFAS!D54</f>
        <v>119.19234351666</v>
      </c>
      <c r="E56" s="42" t="n">
        <f aca="false">SIP_Fund1_PPFAS!E54</f>
        <v>58.7286044847468</v>
      </c>
      <c r="F56" s="38" t="n">
        <f aca="false">Assumptions!$C$5-B56</f>
        <v>2539</v>
      </c>
      <c r="G56" s="41" t="n">
        <f aca="false">Assumptions!$D$19*(1+Assumptions!$F$19)^((Assumptions!$C$5-Assumptions!$C$4)/365)</f>
        <v>262.190538254849</v>
      </c>
      <c r="H56" s="40" t="n">
        <f aca="false">E56*G56</f>
        <v>15398.0844208119</v>
      </c>
      <c r="I56" s="48" t="n">
        <f aca="false">IF(F56&lt;365,Assumptions!$G$19,IF(F56&lt;=730,Assumptions!$H$19,Assumptions!$I$19))</f>
        <v>0</v>
      </c>
      <c r="J56" s="40" t="n">
        <f aca="false">H56*I56</f>
        <v>0</v>
      </c>
      <c r="K56" s="40" t="n">
        <f aca="false">H56-J56</f>
        <v>15398.0844208119</v>
      </c>
      <c r="L56" s="40" t="n">
        <f aca="false">K56-C56</f>
        <v>8398.08442081191</v>
      </c>
      <c r="M56" s="38" t="str">
        <f aca="false">IF(F56&gt;365,"LTCG","STCG")</f>
        <v>LTCG</v>
      </c>
      <c r="N56" s="48" t="n">
        <f aca="false">IF(M56="LTCG",Assumptions!$C$12,Assumptions!$C$11)</f>
        <v>0.125</v>
      </c>
      <c r="O56" s="38" t="str">
        <f aca="false">IF(M56="STCG",MAX(L56,0)*Assumptions!$C$11,"agg. below")</f>
        <v>agg. below</v>
      </c>
    </row>
    <row r="57" customFormat="false" ht="15" hidden="false" customHeight="false" outlineLevel="1" collapsed="false">
      <c r="A57" s="33" t="str">
        <f aca="false">TEXT(SIP_Fund1_PPFAS!B55,"mmm-yyyy")</f>
        <v>Mar-2029</v>
      </c>
      <c r="B57" s="34" t="n">
        <f aca="false">SIP_Fund1_PPFAS!B55</f>
        <v>47178</v>
      </c>
      <c r="C57" s="35" t="n">
        <f aca="false">SIP_Fund1_PPFAS!C55</f>
        <v>7000</v>
      </c>
      <c r="D57" s="36" t="n">
        <f aca="false">SIP_Fund1_PPFAS!D55</f>
        <v>120.233084264244</v>
      </c>
      <c r="E57" s="37" t="n">
        <f aca="false">SIP_Fund1_PPFAS!E55</f>
        <v>58.2202481358264</v>
      </c>
      <c r="F57" s="33" t="n">
        <f aca="false">Assumptions!$C$5-B57</f>
        <v>2511</v>
      </c>
      <c r="G57" s="36" t="n">
        <f aca="false">Assumptions!$D$19*(1+Assumptions!$F$19)^((Assumptions!$C$5-Assumptions!$C$4)/365)</f>
        <v>262.190538254849</v>
      </c>
      <c r="H57" s="35" t="n">
        <f aca="false">E57*G57</f>
        <v>15264.7981960632</v>
      </c>
      <c r="I57" s="47" t="n">
        <f aca="false">IF(F57&lt;365,Assumptions!$G$19,IF(F57&lt;=730,Assumptions!$H$19,Assumptions!$I$19))</f>
        <v>0</v>
      </c>
      <c r="J57" s="35" t="n">
        <f aca="false">H57*I57</f>
        <v>0</v>
      </c>
      <c r="K57" s="35" t="n">
        <f aca="false">H57-J57</f>
        <v>15264.7981960632</v>
      </c>
      <c r="L57" s="35" t="n">
        <f aca="false">K57-C57</f>
        <v>8264.79819606319</v>
      </c>
      <c r="M57" s="33" t="str">
        <f aca="false">IF(F57&gt;365,"LTCG","STCG")</f>
        <v>LTCG</v>
      </c>
      <c r="N57" s="47" t="n">
        <f aca="false">IF(M57="LTCG",Assumptions!$C$12,Assumptions!$C$11)</f>
        <v>0.125</v>
      </c>
      <c r="O57" s="33" t="str">
        <f aca="false">IF(M57="STCG",MAX(L57,0)*Assumptions!$C$11,"agg. below")</f>
        <v>agg. below</v>
      </c>
    </row>
    <row r="58" customFormat="false" ht="15" hidden="false" customHeight="false" outlineLevel="1" collapsed="false">
      <c r="A58" s="38" t="str">
        <f aca="false">TEXT(SIP_Fund1_PPFAS!B56,"mmm-yyyy")</f>
        <v>Apr-2029</v>
      </c>
      <c r="B58" s="39" t="n">
        <f aca="false">SIP_Fund1_PPFAS!B56</f>
        <v>47209</v>
      </c>
      <c r="C58" s="40" t="n">
        <f aca="false">SIP_Fund1_PPFAS!C56</f>
        <v>7000</v>
      </c>
      <c r="D58" s="41" t="n">
        <f aca="false">SIP_Fund1_PPFAS!D56</f>
        <v>121.395936212545</v>
      </c>
      <c r="E58" s="42" t="n">
        <f aca="false">SIP_Fund1_PPFAS!E56</f>
        <v>57.6625562468919</v>
      </c>
      <c r="F58" s="38" t="n">
        <f aca="false">Assumptions!$C$5-B58</f>
        <v>2480</v>
      </c>
      <c r="G58" s="41" t="n">
        <f aca="false">Assumptions!$D$19*(1+Assumptions!$F$19)^((Assumptions!$C$5-Assumptions!$C$4)/365)</f>
        <v>262.190538254849</v>
      </c>
      <c r="H58" s="40" t="n">
        <f aca="false">E58*G58</f>
        <v>15118.5766595231</v>
      </c>
      <c r="I58" s="48" t="n">
        <f aca="false">IF(F58&lt;365,Assumptions!$G$19,IF(F58&lt;=730,Assumptions!$H$19,Assumptions!$I$19))</f>
        <v>0</v>
      </c>
      <c r="J58" s="40" t="n">
        <f aca="false">H58*I58</f>
        <v>0</v>
      </c>
      <c r="K58" s="40" t="n">
        <f aca="false">H58-J58</f>
        <v>15118.5766595231</v>
      </c>
      <c r="L58" s="40" t="n">
        <f aca="false">K58-C58</f>
        <v>8118.57665952311</v>
      </c>
      <c r="M58" s="38" t="str">
        <f aca="false">IF(F58&gt;365,"LTCG","STCG")</f>
        <v>LTCG</v>
      </c>
      <c r="N58" s="48" t="n">
        <f aca="false">IF(M58="LTCG",Assumptions!$C$12,Assumptions!$C$11)</f>
        <v>0.125</v>
      </c>
      <c r="O58" s="38" t="str">
        <f aca="false">IF(M58="STCG",MAX(L58,0)*Assumptions!$C$11,"agg. below")</f>
        <v>agg. below</v>
      </c>
    </row>
    <row r="59" customFormat="false" ht="15" hidden="false" customHeight="false" outlineLevel="1" collapsed="false">
      <c r="A59" s="33" t="str">
        <f aca="false">TEXT(SIP_Fund1_PPFAS!B57,"mmm-yyyy")</f>
        <v>May-2029</v>
      </c>
      <c r="B59" s="34" t="n">
        <f aca="false">SIP_Fund1_PPFAS!B57</f>
        <v>47239</v>
      </c>
      <c r="C59" s="35" t="n">
        <f aca="false">SIP_Fund1_PPFAS!C57</f>
        <v>7000</v>
      </c>
      <c r="D59" s="36" t="n">
        <f aca="false">SIP_Fund1_PPFAS!D57</f>
        <v>122.531984047078</v>
      </c>
      <c r="E59" s="37" t="n">
        <f aca="false">SIP_Fund1_PPFAS!E57</f>
        <v>57.1279413651748</v>
      </c>
      <c r="F59" s="33" t="n">
        <f aca="false">Assumptions!$C$5-B59</f>
        <v>2450</v>
      </c>
      <c r="G59" s="36" t="n">
        <f aca="false">Assumptions!$D$19*(1+Assumptions!$F$19)^((Assumptions!$C$5-Assumptions!$C$4)/365)</f>
        <v>262.190538254849</v>
      </c>
      <c r="H59" s="35" t="n">
        <f aca="false">E59*G59</f>
        <v>14978.4056959266</v>
      </c>
      <c r="I59" s="47" t="n">
        <f aca="false">IF(F59&lt;365,Assumptions!$G$19,IF(F59&lt;=730,Assumptions!$H$19,Assumptions!$I$19))</f>
        <v>0</v>
      </c>
      <c r="J59" s="35" t="n">
        <f aca="false">H59*I59</f>
        <v>0</v>
      </c>
      <c r="K59" s="35" t="n">
        <f aca="false">H59-J59</f>
        <v>14978.4056959266</v>
      </c>
      <c r="L59" s="35" t="n">
        <f aca="false">K59-C59</f>
        <v>7978.40569592664</v>
      </c>
      <c r="M59" s="33" t="str">
        <f aca="false">IF(F59&gt;365,"LTCG","STCG")</f>
        <v>LTCG</v>
      </c>
      <c r="N59" s="47" t="n">
        <f aca="false">IF(M59="LTCG",Assumptions!$C$12,Assumptions!$C$11)</f>
        <v>0.125</v>
      </c>
      <c r="O59" s="33" t="str">
        <f aca="false">IF(M59="STCG",MAX(L59,0)*Assumptions!$C$11,"agg. below")</f>
        <v>agg. below</v>
      </c>
    </row>
    <row r="60" customFormat="false" ht="15" hidden="false" customHeight="false" outlineLevel="1" collapsed="false">
      <c r="A60" s="38" t="str">
        <f aca="false">TEXT(SIP_Fund1_PPFAS!B58,"mmm-yyyy")</f>
        <v>Jun-2029</v>
      </c>
      <c r="B60" s="39" t="n">
        <f aca="false">SIP_Fund1_PPFAS!B58</f>
        <v>47270</v>
      </c>
      <c r="C60" s="40" t="n">
        <f aca="false">SIP_Fund1_PPFAS!C58</f>
        <v>7000</v>
      </c>
      <c r="D60" s="41" t="n">
        <f aca="false">SIP_Fund1_PPFAS!D58</f>
        <v>123.717070142559</v>
      </c>
      <c r="E60" s="42" t="n">
        <f aca="false">SIP_Fund1_PPFAS!E58</f>
        <v>56.5807126852738</v>
      </c>
      <c r="F60" s="38" t="n">
        <f aca="false">Assumptions!$C$5-B60</f>
        <v>2419</v>
      </c>
      <c r="G60" s="41" t="n">
        <f aca="false">Assumptions!$D$19*(1+Assumptions!$F$19)^((Assumptions!$C$5-Assumptions!$C$4)/365)</f>
        <v>262.190538254849</v>
      </c>
      <c r="H60" s="40" t="n">
        <f aca="false">E60*G60</f>
        <v>14834.9275137949</v>
      </c>
      <c r="I60" s="48" t="n">
        <f aca="false">IF(F60&lt;365,Assumptions!$G$19,IF(F60&lt;=730,Assumptions!$H$19,Assumptions!$I$19))</f>
        <v>0</v>
      </c>
      <c r="J60" s="40" t="n">
        <f aca="false">H60*I60</f>
        <v>0</v>
      </c>
      <c r="K60" s="40" t="n">
        <f aca="false">H60-J60</f>
        <v>14834.9275137949</v>
      </c>
      <c r="L60" s="40" t="n">
        <f aca="false">K60-C60</f>
        <v>7834.92751379489</v>
      </c>
      <c r="M60" s="38" t="str">
        <f aca="false">IF(F60&gt;365,"LTCG","STCG")</f>
        <v>LTCG</v>
      </c>
      <c r="N60" s="48" t="n">
        <f aca="false">IF(M60="LTCG",Assumptions!$C$12,Assumptions!$C$11)</f>
        <v>0.125</v>
      </c>
      <c r="O60" s="38" t="str">
        <f aca="false">IF(M60="STCG",MAX(L60,0)*Assumptions!$C$11,"agg. below")</f>
        <v>agg. below</v>
      </c>
    </row>
    <row r="61" customFormat="false" ht="15" hidden="false" customHeight="false" outlineLevel="1" collapsed="false">
      <c r="A61" s="33" t="str">
        <f aca="false">TEXT(SIP_Fund1_PPFAS!B59,"mmm-yyyy")</f>
        <v>Jul-2029</v>
      </c>
      <c r="B61" s="34" t="n">
        <f aca="false">SIP_Fund1_PPFAS!B59</f>
        <v>47300</v>
      </c>
      <c r="C61" s="35" t="n">
        <f aca="false">SIP_Fund1_PPFAS!C59</f>
        <v>7000</v>
      </c>
      <c r="D61" s="36" t="n">
        <f aca="false">SIP_Fund1_PPFAS!D59</f>
        <v>124.874839619983</v>
      </c>
      <c r="E61" s="37" t="n">
        <f aca="false">SIP_Fund1_PPFAS!E59</f>
        <v>56.0561280503125</v>
      </c>
      <c r="F61" s="33" t="n">
        <f aca="false">Assumptions!$C$5-B61</f>
        <v>2389</v>
      </c>
      <c r="G61" s="36" t="n">
        <f aca="false">Assumptions!$D$19*(1+Assumptions!$F$19)^((Assumptions!$C$5-Assumptions!$C$4)/365)</f>
        <v>262.190538254849</v>
      </c>
      <c r="H61" s="35" t="n">
        <f aca="false">E61*G61</f>
        <v>14697.3863859942</v>
      </c>
      <c r="I61" s="47" t="n">
        <f aca="false">IF(F61&lt;365,Assumptions!$G$19,IF(F61&lt;=730,Assumptions!$H$19,Assumptions!$I$19))</f>
        <v>0</v>
      </c>
      <c r="J61" s="35" t="n">
        <f aca="false">H61*I61</f>
        <v>0</v>
      </c>
      <c r="K61" s="35" t="n">
        <f aca="false">H61-J61</f>
        <v>14697.3863859942</v>
      </c>
      <c r="L61" s="35" t="n">
        <f aca="false">K61-C61</f>
        <v>7697.38638599418</v>
      </c>
      <c r="M61" s="33" t="str">
        <f aca="false">IF(F61&gt;365,"LTCG","STCG")</f>
        <v>LTCG</v>
      </c>
      <c r="N61" s="47" t="n">
        <f aca="false">IF(M61="LTCG",Assumptions!$C$12,Assumptions!$C$11)</f>
        <v>0.125</v>
      </c>
      <c r="O61" s="33" t="str">
        <f aca="false">IF(M61="STCG",MAX(L61,0)*Assumptions!$C$11,"agg. below")</f>
        <v>agg. below</v>
      </c>
    </row>
    <row r="62" customFormat="false" ht="15" hidden="false" customHeight="false" outlineLevel="1" collapsed="false">
      <c r="A62" s="38" t="str">
        <f aca="false">TEXT(SIP_Fund1_PPFAS!B60,"mmm-yyyy")</f>
        <v>Aug-2029</v>
      </c>
      <c r="B62" s="39" t="n">
        <f aca="false">SIP_Fund1_PPFAS!B60</f>
        <v>47331</v>
      </c>
      <c r="C62" s="40" t="n">
        <f aca="false">SIP_Fund1_PPFAS!C60</f>
        <v>7000</v>
      </c>
      <c r="D62" s="41" t="n">
        <f aca="false">SIP_Fund1_PPFAS!D60</f>
        <v>126.082584987529</v>
      </c>
      <c r="E62" s="42" t="n">
        <f aca="false">SIP_Fund1_PPFAS!E60</f>
        <v>55.5191662725853</v>
      </c>
      <c r="F62" s="38" t="n">
        <f aca="false">Assumptions!$C$5-B62</f>
        <v>2358</v>
      </c>
      <c r="G62" s="41" t="n">
        <f aca="false">Assumptions!$D$19*(1+Assumptions!$F$19)^((Assumptions!$C$5-Assumptions!$C$4)/365)</f>
        <v>262.190538254849</v>
      </c>
      <c r="H62" s="40" t="n">
        <f aca="false">E62*G62</f>
        <v>14556.6000884696</v>
      </c>
      <c r="I62" s="48" t="n">
        <f aca="false">IF(F62&lt;365,Assumptions!$G$19,IF(F62&lt;=730,Assumptions!$H$19,Assumptions!$I$19))</f>
        <v>0</v>
      </c>
      <c r="J62" s="40" t="n">
        <f aca="false">H62*I62</f>
        <v>0</v>
      </c>
      <c r="K62" s="40" t="n">
        <f aca="false">H62-J62</f>
        <v>14556.6000884696</v>
      </c>
      <c r="L62" s="40" t="n">
        <f aca="false">K62-C62</f>
        <v>7556.60008846961</v>
      </c>
      <c r="M62" s="38" t="str">
        <f aca="false">IF(F62&gt;365,"LTCG","STCG")</f>
        <v>LTCG</v>
      </c>
      <c r="N62" s="48" t="n">
        <f aca="false">IF(M62="LTCG",Assumptions!$C$12,Assumptions!$C$11)</f>
        <v>0.125</v>
      </c>
      <c r="O62" s="38" t="str">
        <f aca="false">IF(M62="STCG",MAX(L62,0)*Assumptions!$C$11,"agg. below")</f>
        <v>agg. below</v>
      </c>
    </row>
    <row r="63" customFormat="false" ht="15" hidden="false" customHeight="false" outlineLevel="1" collapsed="false">
      <c r="A63" s="33" t="str">
        <f aca="false">TEXT(SIP_Fund1_PPFAS!B61,"mmm-yyyy")</f>
        <v>Sep-2029</v>
      </c>
      <c r="B63" s="34" t="n">
        <f aca="false">SIP_Fund1_PPFAS!B61</f>
        <v>47362</v>
      </c>
      <c r="C63" s="35" t="n">
        <f aca="false">SIP_Fund1_PPFAS!C61</f>
        <v>7000</v>
      </c>
      <c r="D63" s="36" t="n">
        <f aca="false">SIP_Fund1_PPFAS!D61</f>
        <v>127.302011241932</v>
      </c>
      <c r="E63" s="37" t="n">
        <f aca="false">SIP_Fund1_PPFAS!E61</f>
        <v>54.9873480529449</v>
      </c>
      <c r="F63" s="33" t="n">
        <f aca="false">Assumptions!$C$5-B63</f>
        <v>2327</v>
      </c>
      <c r="G63" s="36" t="n">
        <f aca="false">Assumptions!$D$19*(1+Assumptions!$F$19)^((Assumptions!$C$5-Assumptions!$C$4)/365)</f>
        <v>262.190538254849</v>
      </c>
      <c r="H63" s="35" t="n">
        <f aca="false">E63*G63</f>
        <v>14417.1623832083</v>
      </c>
      <c r="I63" s="47" t="n">
        <f aca="false">IF(F63&lt;365,Assumptions!$G$19,IF(F63&lt;=730,Assumptions!$H$19,Assumptions!$I$19))</f>
        <v>0</v>
      </c>
      <c r="J63" s="35" t="n">
        <f aca="false">H63*I63</f>
        <v>0</v>
      </c>
      <c r="K63" s="35" t="n">
        <f aca="false">H63-J63</f>
        <v>14417.1623832083</v>
      </c>
      <c r="L63" s="35" t="n">
        <f aca="false">K63-C63</f>
        <v>7417.16238320834</v>
      </c>
      <c r="M63" s="33" t="str">
        <f aca="false">IF(F63&gt;365,"LTCG","STCG")</f>
        <v>LTCG</v>
      </c>
      <c r="N63" s="47" t="n">
        <f aca="false">IF(M63="LTCG",Assumptions!$C$12,Assumptions!$C$11)</f>
        <v>0.125</v>
      </c>
      <c r="O63" s="33" t="str">
        <f aca="false">IF(M63="STCG",MAX(L63,0)*Assumptions!$C$11,"agg. below")</f>
        <v>agg. below</v>
      </c>
    </row>
    <row r="64" customFormat="false" ht="15" hidden="false" customHeight="false" outlineLevel="1" collapsed="false">
      <c r="A64" s="38" t="str">
        <f aca="false">TEXT(SIP_Fund1_PPFAS!B62,"mmm-yyyy")</f>
        <v>Oct-2029</v>
      </c>
      <c r="B64" s="39" t="n">
        <f aca="false">SIP_Fund1_PPFAS!B62</f>
        <v>47392</v>
      </c>
      <c r="C64" s="40" t="n">
        <f aca="false">SIP_Fund1_PPFAS!C62</f>
        <v>7000</v>
      </c>
      <c r="D64" s="41" t="n">
        <f aca="false">SIP_Fund1_PPFAS!D62</f>
        <v>128.4933293265</v>
      </c>
      <c r="E64" s="42" t="n">
        <f aca="false">SIP_Fund1_PPFAS!E62</f>
        <v>54.4775362012226</v>
      </c>
      <c r="F64" s="38" t="n">
        <f aca="false">Assumptions!$C$5-B64</f>
        <v>2297</v>
      </c>
      <c r="G64" s="41" t="n">
        <f aca="false">Assumptions!$D$19*(1+Assumptions!$F$19)^((Assumptions!$C$5-Assumptions!$C$4)/365)</f>
        <v>262.190538254849</v>
      </c>
      <c r="H64" s="40" t="n">
        <f aca="false">E64*G64</f>
        <v>14283.4945393966</v>
      </c>
      <c r="I64" s="48" t="n">
        <f aca="false">IF(F64&lt;365,Assumptions!$G$19,IF(F64&lt;=730,Assumptions!$H$19,Assumptions!$I$19))</f>
        <v>0</v>
      </c>
      <c r="J64" s="40" t="n">
        <f aca="false">H64*I64</f>
        <v>0</v>
      </c>
      <c r="K64" s="40" t="n">
        <f aca="false">H64-J64</f>
        <v>14283.4945393966</v>
      </c>
      <c r="L64" s="40" t="n">
        <f aca="false">K64-C64</f>
        <v>7283.49453939659</v>
      </c>
      <c r="M64" s="38" t="str">
        <f aca="false">IF(F64&gt;365,"LTCG","STCG")</f>
        <v>LTCG</v>
      </c>
      <c r="N64" s="48" t="n">
        <f aca="false">IF(M64="LTCG",Assumptions!$C$12,Assumptions!$C$11)</f>
        <v>0.125</v>
      </c>
      <c r="O64" s="38" t="str">
        <f aca="false">IF(M64="STCG",MAX(L64,0)*Assumptions!$C$11,"agg. below")</f>
        <v>agg. below</v>
      </c>
    </row>
    <row r="65" customFormat="false" ht="15" hidden="false" customHeight="false" outlineLevel="1" collapsed="false">
      <c r="A65" s="33" t="str">
        <f aca="false">TEXT(SIP_Fund1_PPFAS!B63,"mmm-yyyy")</f>
        <v>Nov-2029</v>
      </c>
      <c r="B65" s="34" t="n">
        <f aca="false">SIP_Fund1_PPFAS!B63</f>
        <v>47423</v>
      </c>
      <c r="C65" s="35" t="n">
        <f aca="false">SIP_Fund1_PPFAS!C63</f>
        <v>7000</v>
      </c>
      <c r="D65" s="36" t="n">
        <f aca="false">SIP_Fund1_PPFAS!D63</f>
        <v>129.736071449147</v>
      </c>
      <c r="E65" s="37" t="n">
        <f aca="false">SIP_Fund1_PPFAS!E63</f>
        <v>53.9556957583981</v>
      </c>
      <c r="F65" s="33" t="n">
        <f aca="false">Assumptions!$C$5-B65</f>
        <v>2266</v>
      </c>
      <c r="G65" s="36" t="n">
        <f aca="false">Assumptions!$D$19*(1+Assumptions!$F$19)^((Assumptions!$C$5-Assumptions!$C$4)/365)</f>
        <v>262.190538254849</v>
      </c>
      <c r="H65" s="35" t="n">
        <f aca="false">E65*G65</f>
        <v>14146.6729128093</v>
      </c>
      <c r="I65" s="47" t="n">
        <f aca="false">IF(F65&lt;365,Assumptions!$G$19,IF(F65&lt;=730,Assumptions!$H$19,Assumptions!$I$19))</f>
        <v>0</v>
      </c>
      <c r="J65" s="35" t="n">
        <f aca="false">H65*I65</f>
        <v>0</v>
      </c>
      <c r="K65" s="35" t="n">
        <f aca="false">H65-J65</f>
        <v>14146.6729128093</v>
      </c>
      <c r="L65" s="35" t="n">
        <f aca="false">K65-C65</f>
        <v>7146.67291280928</v>
      </c>
      <c r="M65" s="33" t="str">
        <f aca="false">IF(F65&gt;365,"LTCG","STCG")</f>
        <v>LTCG</v>
      </c>
      <c r="N65" s="47" t="n">
        <f aca="false">IF(M65="LTCG",Assumptions!$C$12,Assumptions!$C$11)</f>
        <v>0.125</v>
      </c>
      <c r="O65" s="33" t="str">
        <f aca="false">IF(M65="STCG",MAX(L65,0)*Assumptions!$C$11,"agg. below")</f>
        <v>agg. below</v>
      </c>
    </row>
    <row r="66" customFormat="false" ht="15" hidden="false" customHeight="false" outlineLevel="1" collapsed="false">
      <c r="A66" s="38" t="str">
        <f aca="false">TEXT(SIP_Fund1_PPFAS!B64,"mmm-yyyy")</f>
        <v>Dec-2029</v>
      </c>
      <c r="B66" s="39" t="n">
        <f aca="false">SIP_Fund1_PPFAS!B64</f>
        <v>47453</v>
      </c>
      <c r="C66" s="40" t="n">
        <f aca="false">SIP_Fund1_PPFAS!C64</f>
        <v>7000</v>
      </c>
      <c r="D66" s="41" t="n">
        <f aca="false">SIP_Fund1_PPFAS!D64</f>
        <v>130.950167963651</v>
      </c>
      <c r="E66" s="42" t="n">
        <f aca="false">SIP_Fund1_PPFAS!E64</f>
        <v>53.4554488081531</v>
      </c>
      <c r="F66" s="38" t="n">
        <f aca="false">Assumptions!$C$5-B66</f>
        <v>2236</v>
      </c>
      <c r="G66" s="41" t="n">
        <f aca="false">Assumptions!$D$19*(1+Assumptions!$F$19)^((Assumptions!$C$5-Assumptions!$C$4)/365)</f>
        <v>262.190538254849</v>
      </c>
      <c r="H66" s="40" t="n">
        <f aca="false">E66*G66</f>
        <v>14015.5128956642</v>
      </c>
      <c r="I66" s="48" t="n">
        <f aca="false">IF(F66&lt;365,Assumptions!$G$19,IF(F66&lt;=730,Assumptions!$H$19,Assumptions!$I$19))</f>
        <v>0</v>
      </c>
      <c r="J66" s="40" t="n">
        <f aca="false">H66*I66</f>
        <v>0</v>
      </c>
      <c r="K66" s="40" t="n">
        <f aca="false">H66-J66</f>
        <v>14015.5128956642</v>
      </c>
      <c r="L66" s="40" t="n">
        <f aca="false">K66-C66</f>
        <v>7015.51289566418</v>
      </c>
      <c r="M66" s="38" t="str">
        <f aca="false">IF(F66&gt;365,"LTCG","STCG")</f>
        <v>LTCG</v>
      </c>
      <c r="N66" s="48" t="n">
        <f aca="false">IF(M66="LTCG",Assumptions!$C$12,Assumptions!$C$11)</f>
        <v>0.125</v>
      </c>
      <c r="O66" s="38" t="str">
        <f aca="false">IF(M66="STCG",MAX(L66,0)*Assumptions!$C$11,"agg. below")</f>
        <v>agg. below</v>
      </c>
    </row>
    <row r="67" customFormat="false" ht="15" hidden="false" customHeight="false" outlineLevel="1" collapsed="false">
      <c r="A67" s="33" t="str">
        <f aca="false">TEXT(SIP_Fund1_PPFAS!B65,"mmm-yyyy")</f>
        <v>Jan-2030</v>
      </c>
      <c r="B67" s="34" t="n">
        <f aca="false">SIP_Fund1_PPFAS!B65</f>
        <v>47484</v>
      </c>
      <c r="C67" s="35" t="n">
        <f aca="false">SIP_Fund1_PPFAS!C65</f>
        <v>8000</v>
      </c>
      <c r="D67" s="36" t="n">
        <f aca="false">SIP_Fund1_PPFAS!D65</f>
        <v>132.216671762325</v>
      </c>
      <c r="E67" s="37" t="n">
        <f aca="false">SIP_Fund1_PPFAS!E65</f>
        <v>60.5067416488969</v>
      </c>
      <c r="F67" s="33" t="n">
        <f aca="false">Assumptions!$C$5-B67</f>
        <v>2205</v>
      </c>
      <c r="G67" s="36" t="n">
        <f aca="false">Assumptions!$D$19*(1+Assumptions!$F$19)^((Assumptions!$C$5-Assumptions!$C$4)/365)</f>
        <v>262.190538254849</v>
      </c>
      <c r="H67" s="35" t="n">
        <f aca="false">E67*G67</f>
        <v>15864.2951609714</v>
      </c>
      <c r="I67" s="47" t="n">
        <f aca="false">IF(F67&lt;365,Assumptions!$G$19,IF(F67&lt;=730,Assumptions!$H$19,Assumptions!$I$19))</f>
        <v>0</v>
      </c>
      <c r="J67" s="35" t="n">
        <f aca="false">H67*I67</f>
        <v>0</v>
      </c>
      <c r="K67" s="35" t="n">
        <f aca="false">H67-J67</f>
        <v>15864.2951609714</v>
      </c>
      <c r="L67" s="35" t="n">
        <f aca="false">K67-C67</f>
        <v>7864.29516097137</v>
      </c>
      <c r="M67" s="33" t="str">
        <f aca="false">IF(F67&gt;365,"LTCG","STCG")</f>
        <v>LTCG</v>
      </c>
      <c r="N67" s="47" t="n">
        <f aca="false">IF(M67="LTCG",Assumptions!$C$12,Assumptions!$C$11)</f>
        <v>0.125</v>
      </c>
      <c r="O67" s="33" t="str">
        <f aca="false">IF(M67="STCG",MAX(L67,0)*Assumptions!$C$11,"agg. below")</f>
        <v>agg. below</v>
      </c>
    </row>
    <row r="68" customFormat="false" ht="15" hidden="false" customHeight="false" outlineLevel="1" collapsed="false">
      <c r="A68" s="38" t="str">
        <f aca="false">TEXT(SIP_Fund1_PPFAS!B66,"mmm-yyyy")</f>
        <v>Feb-2030</v>
      </c>
      <c r="B68" s="39" t="n">
        <f aca="false">SIP_Fund1_PPFAS!B66</f>
        <v>47515</v>
      </c>
      <c r="C68" s="40" t="n">
        <f aca="false">SIP_Fund1_PPFAS!C66</f>
        <v>8000</v>
      </c>
      <c r="D68" s="41" t="n">
        <f aca="false">SIP_Fund1_PPFAS!D66</f>
        <v>133.495424738659</v>
      </c>
      <c r="E68" s="42" t="n">
        <f aca="false">SIP_Fund1_PPFAS!E66</f>
        <v>59.9271474334151</v>
      </c>
      <c r="F68" s="38" t="n">
        <f aca="false">Assumptions!$C$5-B68</f>
        <v>2174</v>
      </c>
      <c r="G68" s="41" t="n">
        <f aca="false">Assumptions!$D$19*(1+Assumptions!$F$19)^((Assumptions!$C$5-Assumptions!$C$4)/365)</f>
        <v>262.190538254849</v>
      </c>
      <c r="H68" s="40" t="n">
        <f aca="false">E68*G68</f>
        <v>15712.3310416448</v>
      </c>
      <c r="I68" s="48" t="n">
        <f aca="false">IF(F68&lt;365,Assumptions!$G$19,IF(F68&lt;=730,Assumptions!$H$19,Assumptions!$I$19))</f>
        <v>0</v>
      </c>
      <c r="J68" s="40" t="n">
        <f aca="false">H68*I68</f>
        <v>0</v>
      </c>
      <c r="K68" s="40" t="n">
        <f aca="false">H68-J68</f>
        <v>15712.3310416448</v>
      </c>
      <c r="L68" s="40" t="n">
        <f aca="false">K68-C68</f>
        <v>7712.3310416448</v>
      </c>
      <c r="M68" s="38" t="str">
        <f aca="false">IF(F68&gt;365,"LTCG","STCG")</f>
        <v>LTCG</v>
      </c>
      <c r="N68" s="48" t="n">
        <f aca="false">IF(M68="LTCG",Assumptions!$C$12,Assumptions!$C$11)</f>
        <v>0.125</v>
      </c>
      <c r="O68" s="38" t="str">
        <f aca="false">IF(M68="STCG",MAX(L68,0)*Assumptions!$C$11,"agg. below")</f>
        <v>agg. below</v>
      </c>
    </row>
    <row r="69" customFormat="false" ht="15" hidden="false" customHeight="false" outlineLevel="1" collapsed="false">
      <c r="A69" s="33" t="str">
        <f aca="false">TEXT(SIP_Fund1_PPFAS!B67,"mmm-yyyy")</f>
        <v>Mar-2030</v>
      </c>
      <c r="B69" s="34" t="n">
        <f aca="false">SIP_Fund1_PPFAS!B67</f>
        <v>47543</v>
      </c>
      <c r="C69" s="35" t="n">
        <f aca="false">SIP_Fund1_PPFAS!C67</f>
        <v>8000</v>
      </c>
      <c r="D69" s="36" t="n">
        <f aca="false">SIP_Fund1_PPFAS!D67</f>
        <v>134.661054375953</v>
      </c>
      <c r="E69" s="37" t="n">
        <f aca="false">SIP_Fund1_PPFAS!E67</f>
        <v>59.4084164651289</v>
      </c>
      <c r="F69" s="33" t="n">
        <f aca="false">Assumptions!$C$5-B69</f>
        <v>2146</v>
      </c>
      <c r="G69" s="36" t="n">
        <f aca="false">Assumptions!$D$19*(1+Assumptions!$F$19)^((Assumptions!$C$5-Assumptions!$C$4)/365)</f>
        <v>262.190538254849</v>
      </c>
      <c r="H69" s="35" t="n">
        <f aca="false">E69*G69</f>
        <v>15576.3246898604</v>
      </c>
      <c r="I69" s="47" t="n">
        <f aca="false">IF(F69&lt;365,Assumptions!$G$19,IF(F69&lt;=730,Assumptions!$H$19,Assumptions!$I$19))</f>
        <v>0</v>
      </c>
      <c r="J69" s="35" t="n">
        <f aca="false">H69*I69</f>
        <v>0</v>
      </c>
      <c r="K69" s="35" t="n">
        <f aca="false">H69-J69</f>
        <v>15576.3246898604</v>
      </c>
      <c r="L69" s="35" t="n">
        <f aca="false">K69-C69</f>
        <v>7576.3246898604</v>
      </c>
      <c r="M69" s="33" t="str">
        <f aca="false">IF(F69&gt;365,"LTCG","STCG")</f>
        <v>LTCG</v>
      </c>
      <c r="N69" s="47" t="n">
        <f aca="false">IF(M69="LTCG",Assumptions!$C$12,Assumptions!$C$11)</f>
        <v>0.125</v>
      </c>
      <c r="O69" s="33" t="str">
        <f aca="false">IF(M69="STCG",MAX(L69,0)*Assumptions!$C$11,"agg. below")</f>
        <v>agg. below</v>
      </c>
    </row>
    <row r="70" customFormat="false" ht="15" hidden="false" customHeight="false" outlineLevel="1" collapsed="false">
      <c r="A70" s="38" t="str">
        <f aca="false">TEXT(SIP_Fund1_PPFAS!B68,"mmm-yyyy")</f>
        <v>Apr-2030</v>
      </c>
      <c r="B70" s="39" t="n">
        <f aca="false">SIP_Fund1_PPFAS!B68</f>
        <v>47574</v>
      </c>
      <c r="C70" s="40" t="n">
        <f aca="false">SIP_Fund1_PPFAS!C68</f>
        <v>8000</v>
      </c>
      <c r="D70" s="41" t="n">
        <f aca="false">SIP_Fund1_PPFAS!D68</f>
        <v>135.963448558051</v>
      </c>
      <c r="E70" s="42" t="n">
        <f aca="false">SIP_Fund1_PPFAS!E68</f>
        <v>58.8393431090734</v>
      </c>
      <c r="F70" s="38" t="n">
        <f aca="false">Assumptions!$C$5-B70</f>
        <v>2115</v>
      </c>
      <c r="G70" s="41" t="n">
        <f aca="false">Assumptions!$D$19*(1+Assumptions!$F$19)^((Assumptions!$C$5-Assumptions!$C$4)/365)</f>
        <v>262.190538254849</v>
      </c>
      <c r="H70" s="40" t="n">
        <f aca="false">E70*G70</f>
        <v>15427.1190403297</v>
      </c>
      <c r="I70" s="48" t="n">
        <f aca="false">IF(F70&lt;365,Assumptions!$G$19,IF(F70&lt;=730,Assumptions!$H$19,Assumptions!$I$19))</f>
        <v>0</v>
      </c>
      <c r="J70" s="40" t="n">
        <f aca="false">H70*I70</f>
        <v>0</v>
      </c>
      <c r="K70" s="40" t="n">
        <f aca="false">H70-J70</f>
        <v>15427.1190403297</v>
      </c>
      <c r="L70" s="40" t="n">
        <f aca="false">K70-C70</f>
        <v>7427.1190403297</v>
      </c>
      <c r="M70" s="38" t="str">
        <f aca="false">IF(F70&gt;365,"LTCG","STCG")</f>
        <v>LTCG</v>
      </c>
      <c r="N70" s="48" t="n">
        <f aca="false">IF(M70="LTCG",Assumptions!$C$12,Assumptions!$C$11)</f>
        <v>0.125</v>
      </c>
      <c r="O70" s="38" t="str">
        <f aca="false">IF(M70="STCG",MAX(L70,0)*Assumptions!$C$11,"agg. below")</f>
        <v>agg. below</v>
      </c>
    </row>
    <row r="71" customFormat="false" ht="15" hidden="false" customHeight="false" outlineLevel="1" collapsed="false">
      <c r="A71" s="33" t="str">
        <f aca="false">TEXT(SIP_Fund1_PPFAS!B69,"mmm-yyyy")</f>
        <v>May-2030</v>
      </c>
      <c r="B71" s="34" t="n">
        <f aca="false">SIP_Fund1_PPFAS!B69</f>
        <v>47604</v>
      </c>
      <c r="C71" s="35" t="n">
        <f aca="false">SIP_Fund1_PPFAS!C69</f>
        <v>8000</v>
      </c>
      <c r="D71" s="36" t="n">
        <f aca="false">SIP_Fund1_PPFAS!D69</f>
        <v>137.235822132727</v>
      </c>
      <c r="E71" s="37" t="n">
        <f aca="false">SIP_Fund1_PPFAS!E69</f>
        <v>58.2938177195661</v>
      </c>
      <c r="F71" s="33" t="n">
        <f aca="false">Assumptions!$C$5-B71</f>
        <v>2085</v>
      </c>
      <c r="G71" s="36" t="n">
        <f aca="false">Assumptions!$D$19*(1+Assumptions!$F$19)^((Assumptions!$C$5-Assumptions!$C$4)/365)</f>
        <v>262.190538254849</v>
      </c>
      <c r="H71" s="35" t="n">
        <f aca="false">E71*G71</f>
        <v>15284.0874448231</v>
      </c>
      <c r="I71" s="47" t="n">
        <f aca="false">IF(F71&lt;365,Assumptions!$G$19,IF(F71&lt;=730,Assumptions!$H$19,Assumptions!$I$19))</f>
        <v>0</v>
      </c>
      <c r="J71" s="35" t="n">
        <f aca="false">H71*I71</f>
        <v>0</v>
      </c>
      <c r="K71" s="35" t="n">
        <f aca="false">H71-J71</f>
        <v>15284.0874448231</v>
      </c>
      <c r="L71" s="35" t="n">
        <f aca="false">K71-C71</f>
        <v>7284.0874448231</v>
      </c>
      <c r="M71" s="33" t="str">
        <f aca="false">IF(F71&gt;365,"LTCG","STCG")</f>
        <v>LTCG</v>
      </c>
      <c r="N71" s="47" t="n">
        <f aca="false">IF(M71="LTCG",Assumptions!$C$12,Assumptions!$C$11)</f>
        <v>0.125</v>
      </c>
      <c r="O71" s="33" t="str">
        <f aca="false">IF(M71="STCG",MAX(L71,0)*Assumptions!$C$11,"agg. below")</f>
        <v>agg. below</v>
      </c>
    </row>
    <row r="72" customFormat="false" ht="15" hidden="false" customHeight="false" outlineLevel="1" collapsed="false">
      <c r="A72" s="38" t="str">
        <f aca="false">TEXT(SIP_Fund1_PPFAS!B70,"mmm-yyyy")</f>
        <v>Jun-2030</v>
      </c>
      <c r="B72" s="39" t="n">
        <f aca="false">SIP_Fund1_PPFAS!B70</f>
        <v>47635</v>
      </c>
      <c r="C72" s="40" t="n">
        <f aca="false">SIP_Fund1_PPFAS!C70</f>
        <v>8000</v>
      </c>
      <c r="D72" s="41" t="n">
        <f aca="false">SIP_Fund1_PPFAS!D70</f>
        <v>138.563118559666</v>
      </c>
      <c r="E72" s="42" t="n">
        <f aca="false">SIP_Fund1_PPFAS!E70</f>
        <v>57.7354211074222</v>
      </c>
      <c r="F72" s="38" t="n">
        <f aca="false">Assumptions!$C$5-B72</f>
        <v>2054</v>
      </c>
      <c r="G72" s="41" t="n">
        <f aca="false">Assumptions!$D$19*(1+Assumptions!$F$19)^((Assumptions!$C$5-Assumptions!$C$4)/365)</f>
        <v>262.190538254849</v>
      </c>
      <c r="H72" s="40" t="n">
        <f aca="false">E72*G72</f>
        <v>15137.6811365254</v>
      </c>
      <c r="I72" s="48" t="n">
        <f aca="false">IF(F72&lt;365,Assumptions!$G$19,IF(F72&lt;=730,Assumptions!$H$19,Assumptions!$I$19))</f>
        <v>0</v>
      </c>
      <c r="J72" s="40" t="n">
        <f aca="false">H72*I72</f>
        <v>0</v>
      </c>
      <c r="K72" s="40" t="n">
        <f aca="false">H72-J72</f>
        <v>15137.6811365254</v>
      </c>
      <c r="L72" s="40" t="n">
        <f aca="false">K72-C72</f>
        <v>7137.6811365254</v>
      </c>
      <c r="M72" s="38" t="str">
        <f aca="false">IF(F72&gt;365,"LTCG","STCG")</f>
        <v>LTCG</v>
      </c>
      <c r="N72" s="48" t="n">
        <f aca="false">IF(M72="LTCG",Assumptions!$C$12,Assumptions!$C$11)</f>
        <v>0.125</v>
      </c>
      <c r="O72" s="38" t="str">
        <f aca="false">IF(M72="STCG",MAX(L72,0)*Assumptions!$C$11,"agg. below")</f>
        <v>agg. below</v>
      </c>
    </row>
    <row r="73" customFormat="false" ht="15" hidden="false" customHeight="false" outlineLevel="1" collapsed="false">
      <c r="A73" s="33" t="str">
        <f aca="false">TEXT(SIP_Fund1_PPFAS!B71,"mmm-yyyy")</f>
        <v>Jul-2030</v>
      </c>
      <c r="B73" s="34" t="n">
        <f aca="false">SIP_Fund1_PPFAS!B71</f>
        <v>47665</v>
      </c>
      <c r="C73" s="35" t="n">
        <f aca="false">SIP_Fund1_PPFAS!C71</f>
        <v>8000</v>
      </c>
      <c r="D73" s="36" t="n">
        <f aca="false">SIP_Fund1_PPFAS!D71</f>
        <v>139.859820374381</v>
      </c>
      <c r="E73" s="37" t="n">
        <f aca="false">SIP_Fund1_PPFAS!E71</f>
        <v>57.2001306635842</v>
      </c>
      <c r="F73" s="33" t="n">
        <f aca="false">Assumptions!$C$5-B73</f>
        <v>2024</v>
      </c>
      <c r="G73" s="36" t="n">
        <f aca="false">Assumptions!$D$19*(1+Assumptions!$F$19)^((Assumptions!$C$5-Assumptions!$C$4)/365)</f>
        <v>262.190538254849</v>
      </c>
      <c r="H73" s="35" t="n">
        <f aca="false">E73*G73</f>
        <v>14997.3330469328</v>
      </c>
      <c r="I73" s="47" t="n">
        <f aca="false">IF(F73&lt;365,Assumptions!$G$19,IF(F73&lt;=730,Assumptions!$H$19,Assumptions!$I$19))</f>
        <v>0</v>
      </c>
      <c r="J73" s="35" t="n">
        <f aca="false">H73*I73</f>
        <v>0</v>
      </c>
      <c r="K73" s="35" t="n">
        <f aca="false">H73-J73</f>
        <v>14997.3330469328</v>
      </c>
      <c r="L73" s="35" t="n">
        <f aca="false">K73-C73</f>
        <v>6997.33304693283</v>
      </c>
      <c r="M73" s="33" t="str">
        <f aca="false">IF(F73&gt;365,"LTCG","STCG")</f>
        <v>LTCG</v>
      </c>
      <c r="N73" s="47" t="n">
        <f aca="false">IF(M73="LTCG",Assumptions!$C$12,Assumptions!$C$11)</f>
        <v>0.125</v>
      </c>
      <c r="O73" s="33" t="str">
        <f aca="false">IF(M73="STCG",MAX(L73,0)*Assumptions!$C$11,"agg. below")</f>
        <v>agg. below</v>
      </c>
    </row>
    <row r="74" customFormat="false" ht="15" hidden="false" customHeight="false" outlineLevel="1" collapsed="false">
      <c r="A74" s="38" t="str">
        <f aca="false">TEXT(SIP_Fund1_PPFAS!B72,"mmm-yyyy")</f>
        <v>Aug-2030</v>
      </c>
      <c r="B74" s="39" t="n">
        <f aca="false">SIP_Fund1_PPFAS!B72</f>
        <v>47696</v>
      </c>
      <c r="C74" s="40" t="n">
        <f aca="false">SIP_Fund1_PPFAS!C72</f>
        <v>8000</v>
      </c>
      <c r="D74" s="41" t="n">
        <f aca="false">SIP_Fund1_PPFAS!D72</f>
        <v>141.212495186033</v>
      </c>
      <c r="E74" s="42" t="n">
        <f aca="false">SIP_Fund1_PPFAS!E72</f>
        <v>56.6522104822299</v>
      </c>
      <c r="F74" s="38" t="n">
        <f aca="false">Assumptions!$C$5-B74</f>
        <v>1993</v>
      </c>
      <c r="G74" s="41" t="n">
        <f aca="false">Assumptions!$D$19*(1+Assumptions!$F$19)^((Assumptions!$C$5-Assumptions!$C$4)/365)</f>
        <v>262.190538254849</v>
      </c>
      <c r="H74" s="40" t="n">
        <f aca="false">E74*G74</f>
        <v>14853.6735596629</v>
      </c>
      <c r="I74" s="48" t="n">
        <f aca="false">IF(F74&lt;365,Assumptions!$G$19,IF(F74&lt;=730,Assumptions!$H$19,Assumptions!$I$19))</f>
        <v>0</v>
      </c>
      <c r="J74" s="40" t="n">
        <f aca="false">H74*I74</f>
        <v>0</v>
      </c>
      <c r="K74" s="40" t="n">
        <f aca="false">H74-J74</f>
        <v>14853.6735596629</v>
      </c>
      <c r="L74" s="40" t="n">
        <f aca="false">K74-C74</f>
        <v>6853.67355966287</v>
      </c>
      <c r="M74" s="38" t="str">
        <f aca="false">IF(F74&gt;365,"LTCG","STCG")</f>
        <v>LTCG</v>
      </c>
      <c r="N74" s="48" t="n">
        <f aca="false">IF(M74="LTCG",Assumptions!$C$12,Assumptions!$C$11)</f>
        <v>0.125</v>
      </c>
      <c r="O74" s="38" t="str">
        <f aca="false">IF(M74="STCG",MAX(L74,0)*Assumptions!$C$11,"agg. below")</f>
        <v>agg. below</v>
      </c>
    </row>
    <row r="75" customFormat="false" ht="15" hidden="false" customHeight="false" outlineLevel="1" collapsed="false">
      <c r="A75" s="33" t="str">
        <f aca="false">TEXT(SIP_Fund1_PPFAS!B73,"mmm-yyyy")</f>
        <v>Sep-2030</v>
      </c>
      <c r="B75" s="34" t="n">
        <f aca="false">SIP_Fund1_PPFAS!B73</f>
        <v>47727</v>
      </c>
      <c r="C75" s="35" t="n">
        <f aca="false">SIP_Fund1_PPFAS!C73</f>
        <v>8000</v>
      </c>
      <c r="D75" s="36" t="n">
        <f aca="false">SIP_Fund1_PPFAS!D73</f>
        <v>142.578252590964</v>
      </c>
      <c r="E75" s="37" t="n">
        <f aca="false">SIP_Fund1_PPFAS!E73</f>
        <v>56.1095388295356</v>
      </c>
      <c r="F75" s="33" t="n">
        <f aca="false">Assumptions!$C$5-B75</f>
        <v>1962</v>
      </c>
      <c r="G75" s="36" t="n">
        <f aca="false">Assumptions!$D$19*(1+Assumptions!$F$19)^((Assumptions!$C$5-Assumptions!$C$4)/365)</f>
        <v>262.190538254849</v>
      </c>
      <c r="H75" s="35" t="n">
        <f aca="false">E75*G75</f>
        <v>14711.3901869473</v>
      </c>
      <c r="I75" s="47" t="n">
        <f aca="false">IF(F75&lt;365,Assumptions!$G$19,IF(F75&lt;=730,Assumptions!$H$19,Assumptions!$I$19))</f>
        <v>0</v>
      </c>
      <c r="J75" s="35" t="n">
        <f aca="false">H75*I75</f>
        <v>0</v>
      </c>
      <c r="K75" s="35" t="n">
        <f aca="false">H75-J75</f>
        <v>14711.3901869473</v>
      </c>
      <c r="L75" s="35" t="n">
        <f aca="false">K75-C75</f>
        <v>6711.39018694728</v>
      </c>
      <c r="M75" s="33" t="str">
        <f aca="false">IF(F75&gt;365,"LTCG","STCG")</f>
        <v>LTCG</v>
      </c>
      <c r="N75" s="47" t="n">
        <f aca="false">IF(M75="LTCG",Assumptions!$C$12,Assumptions!$C$11)</f>
        <v>0.125</v>
      </c>
      <c r="O75" s="33" t="str">
        <f aca="false">IF(M75="STCG",MAX(L75,0)*Assumptions!$C$11,"agg. below")</f>
        <v>agg. below</v>
      </c>
    </row>
    <row r="76" customFormat="false" ht="15" hidden="false" customHeight="false" outlineLevel="1" collapsed="false">
      <c r="A76" s="38" t="str">
        <f aca="false">TEXT(SIP_Fund1_PPFAS!B74,"mmm-yyyy")</f>
        <v>Oct-2030</v>
      </c>
      <c r="B76" s="39" t="n">
        <f aca="false">SIP_Fund1_PPFAS!B74</f>
        <v>47757</v>
      </c>
      <c r="C76" s="40" t="n">
        <f aca="false">SIP_Fund1_PPFAS!C74</f>
        <v>8000</v>
      </c>
      <c r="D76" s="41" t="n">
        <f aca="false">SIP_Fund1_PPFAS!D74</f>
        <v>143.912528845679</v>
      </c>
      <c r="E76" s="42" t="n">
        <f aca="false">SIP_Fund1_PPFAS!E74</f>
        <v>55.5893226543088</v>
      </c>
      <c r="F76" s="38" t="n">
        <f aca="false">Assumptions!$C$5-B76</f>
        <v>1932</v>
      </c>
      <c r="G76" s="41" t="n">
        <f aca="false">Assumptions!$D$19*(1+Assumptions!$F$19)^((Assumptions!$C$5-Assumptions!$C$4)/365)</f>
        <v>262.190538254849</v>
      </c>
      <c r="H76" s="40" t="n">
        <f aca="false">E76*G76</f>
        <v>14574.9944279557</v>
      </c>
      <c r="I76" s="48" t="n">
        <f aca="false">IF(F76&lt;365,Assumptions!$G$19,IF(F76&lt;=730,Assumptions!$H$19,Assumptions!$I$19))</f>
        <v>0</v>
      </c>
      <c r="J76" s="40" t="n">
        <f aca="false">H76*I76</f>
        <v>0</v>
      </c>
      <c r="K76" s="40" t="n">
        <f aca="false">H76-J76</f>
        <v>14574.9944279557</v>
      </c>
      <c r="L76" s="40" t="n">
        <f aca="false">K76-C76</f>
        <v>6574.9944279557</v>
      </c>
      <c r="M76" s="38" t="str">
        <f aca="false">IF(F76&gt;365,"LTCG","STCG")</f>
        <v>LTCG</v>
      </c>
      <c r="N76" s="48" t="n">
        <f aca="false">IF(M76="LTCG",Assumptions!$C$12,Assumptions!$C$11)</f>
        <v>0.125</v>
      </c>
      <c r="O76" s="38" t="str">
        <f aca="false">IF(M76="STCG",MAX(L76,0)*Assumptions!$C$11,"agg. below")</f>
        <v>agg. below</v>
      </c>
    </row>
    <row r="77" customFormat="false" ht="15" hidden="false" customHeight="false" outlineLevel="1" collapsed="false">
      <c r="A77" s="33" t="str">
        <f aca="false">TEXT(SIP_Fund1_PPFAS!B75,"mmm-yyyy")</f>
        <v>Nov-2030</v>
      </c>
      <c r="B77" s="34" t="n">
        <f aca="false">SIP_Fund1_PPFAS!B75</f>
        <v>47788</v>
      </c>
      <c r="C77" s="35" t="n">
        <f aca="false">SIP_Fund1_PPFAS!C75</f>
        <v>8000</v>
      </c>
      <c r="D77" s="36" t="n">
        <f aca="false">SIP_Fund1_PPFAS!D75</f>
        <v>145.304400023045</v>
      </c>
      <c r="E77" s="37" t="n">
        <f aca="false">SIP_Fund1_PPFAS!E75</f>
        <v>55.0568324065287</v>
      </c>
      <c r="F77" s="33" t="n">
        <f aca="false">Assumptions!$C$5-B77</f>
        <v>1901</v>
      </c>
      <c r="G77" s="36" t="n">
        <f aca="false">Assumptions!$D$19*(1+Assumptions!$F$19)^((Assumptions!$C$5-Assumptions!$C$4)/365)</f>
        <v>262.190538254849</v>
      </c>
      <c r="H77" s="35" t="n">
        <f aca="false">E77*G77</f>
        <v>14435.3805232748</v>
      </c>
      <c r="I77" s="47" t="n">
        <f aca="false">IF(F77&lt;365,Assumptions!$G$19,IF(F77&lt;=730,Assumptions!$H$19,Assumptions!$I$19))</f>
        <v>0</v>
      </c>
      <c r="J77" s="35" t="n">
        <f aca="false">H77*I77</f>
        <v>0</v>
      </c>
      <c r="K77" s="35" t="n">
        <f aca="false">H77-J77</f>
        <v>14435.3805232748</v>
      </c>
      <c r="L77" s="35" t="n">
        <f aca="false">K77-C77</f>
        <v>6435.38052327477</v>
      </c>
      <c r="M77" s="33" t="str">
        <f aca="false">IF(F77&gt;365,"LTCG","STCG")</f>
        <v>LTCG</v>
      </c>
      <c r="N77" s="47" t="n">
        <f aca="false">IF(M77="LTCG",Assumptions!$C$12,Assumptions!$C$11)</f>
        <v>0.125</v>
      </c>
      <c r="O77" s="33" t="str">
        <f aca="false">IF(M77="STCG",MAX(L77,0)*Assumptions!$C$11,"agg. below")</f>
        <v>agg. below</v>
      </c>
    </row>
    <row r="78" customFormat="false" ht="15" hidden="false" customHeight="false" outlineLevel="1" collapsed="false">
      <c r="A78" s="38" t="str">
        <f aca="false">TEXT(SIP_Fund1_PPFAS!B76,"mmm-yyyy")</f>
        <v>Dec-2030</v>
      </c>
      <c r="B78" s="39" t="n">
        <f aca="false">SIP_Fund1_PPFAS!B76</f>
        <v>47818</v>
      </c>
      <c r="C78" s="40" t="n">
        <f aca="false">SIP_Fund1_PPFAS!C76</f>
        <v>8000</v>
      </c>
      <c r="D78" s="41" t="n">
        <f aca="false">SIP_Fund1_PPFAS!D76</f>
        <v>146.664188119289</v>
      </c>
      <c r="E78" s="42" t="n">
        <f aca="false">SIP_Fund1_PPFAS!E76</f>
        <v>54.54637633485</v>
      </c>
      <c r="F78" s="38" t="n">
        <f aca="false">Assumptions!$C$5-B78</f>
        <v>1871</v>
      </c>
      <c r="G78" s="41" t="n">
        <f aca="false">Assumptions!$D$19*(1+Assumptions!$F$19)^((Assumptions!$C$5-Assumptions!$C$4)/365)</f>
        <v>262.190538254849</v>
      </c>
      <c r="H78" s="40" t="n">
        <f aca="false">E78*G78</f>
        <v>14301.5437710859</v>
      </c>
      <c r="I78" s="48" t="n">
        <f aca="false">IF(F78&lt;365,Assumptions!$G$19,IF(F78&lt;=730,Assumptions!$H$19,Assumptions!$I$19))</f>
        <v>0</v>
      </c>
      <c r="J78" s="40" t="n">
        <f aca="false">H78*I78</f>
        <v>0</v>
      </c>
      <c r="K78" s="40" t="n">
        <f aca="false">H78-J78</f>
        <v>14301.5437710859</v>
      </c>
      <c r="L78" s="40" t="n">
        <f aca="false">K78-C78</f>
        <v>6301.54377108589</v>
      </c>
      <c r="M78" s="38" t="str">
        <f aca="false">IF(F78&gt;365,"LTCG","STCG")</f>
        <v>LTCG</v>
      </c>
      <c r="N78" s="48" t="n">
        <f aca="false">IF(M78="LTCG",Assumptions!$C$12,Assumptions!$C$11)</f>
        <v>0.125</v>
      </c>
      <c r="O78" s="38" t="str">
        <f aca="false">IF(M78="STCG",MAX(L78,0)*Assumptions!$C$11,"agg. below")</f>
        <v>agg. below</v>
      </c>
    </row>
    <row r="79" customFormat="false" ht="15" hidden="false" customHeight="false" outlineLevel="1" collapsed="false">
      <c r="A79" s="33" t="str">
        <f aca="false">TEXT(SIP_Fund1_PPFAS!B77,"mmm-yyyy")</f>
        <v>Jan-2031</v>
      </c>
      <c r="B79" s="34" t="n">
        <f aca="false">SIP_Fund1_PPFAS!B77</f>
        <v>47849</v>
      </c>
      <c r="C79" s="35" t="n">
        <f aca="false">SIP_Fund1_PPFAS!C77</f>
        <v>9000</v>
      </c>
      <c r="D79" s="36" t="n">
        <f aca="false">SIP_Fund1_PPFAS!D77</f>
        <v>148.082672373804</v>
      </c>
      <c r="E79" s="37" t="n">
        <f aca="false">SIP_Fund1_PPFAS!E77</f>
        <v>60.776861031258</v>
      </c>
      <c r="F79" s="33" t="n">
        <f aca="false">Assumptions!$C$5-B79</f>
        <v>1840</v>
      </c>
      <c r="G79" s="36" t="n">
        <f aca="false">Assumptions!$D$19*(1+Assumptions!$F$19)^((Assumptions!$C$5-Assumptions!$C$4)/365)</f>
        <v>262.190538254849</v>
      </c>
      <c r="H79" s="35" t="n">
        <f aca="false">E79*G79</f>
        <v>15935.1179072257</v>
      </c>
      <c r="I79" s="47" t="n">
        <f aca="false">IF(F79&lt;365,Assumptions!$G$19,IF(F79&lt;=730,Assumptions!$H$19,Assumptions!$I$19))</f>
        <v>0</v>
      </c>
      <c r="J79" s="35" t="n">
        <f aca="false">H79*I79</f>
        <v>0</v>
      </c>
      <c r="K79" s="35" t="n">
        <f aca="false">H79-J79</f>
        <v>15935.1179072257</v>
      </c>
      <c r="L79" s="35" t="n">
        <f aca="false">K79-C79</f>
        <v>6935.11790722571</v>
      </c>
      <c r="M79" s="33" t="str">
        <f aca="false">IF(F79&gt;365,"LTCG","STCG")</f>
        <v>LTCG</v>
      </c>
      <c r="N79" s="47" t="n">
        <f aca="false">IF(M79="LTCG",Assumptions!$C$12,Assumptions!$C$11)</f>
        <v>0.125</v>
      </c>
      <c r="O79" s="33" t="str">
        <f aca="false">IF(M79="STCG",MAX(L79,0)*Assumptions!$C$11,"agg. below")</f>
        <v>agg. below</v>
      </c>
    </row>
    <row r="80" customFormat="false" ht="15" hidden="false" customHeight="false" outlineLevel="1" collapsed="false">
      <c r="A80" s="38" t="str">
        <f aca="false">TEXT(SIP_Fund1_PPFAS!B78,"mmm-yyyy")</f>
        <v>Feb-2031</v>
      </c>
      <c r="B80" s="39" t="n">
        <f aca="false">SIP_Fund1_PPFAS!B78</f>
        <v>47880</v>
      </c>
      <c r="C80" s="40" t="n">
        <f aca="false">SIP_Fund1_PPFAS!C78</f>
        <v>9000</v>
      </c>
      <c r="D80" s="41" t="n">
        <f aca="false">SIP_Fund1_PPFAS!D78</f>
        <v>149.514875707298</v>
      </c>
      <c r="E80" s="42" t="n">
        <f aca="false">SIP_Fund1_PPFAS!E78</f>
        <v>60.1946793416</v>
      </c>
      <c r="F80" s="38" t="n">
        <f aca="false">Assumptions!$C$5-B80</f>
        <v>1809</v>
      </c>
      <c r="G80" s="41" t="n">
        <f aca="false">Assumptions!$D$19*(1+Assumptions!$F$19)^((Assumptions!$C$5-Assumptions!$C$4)/365)</f>
        <v>262.190538254849</v>
      </c>
      <c r="H80" s="40" t="n">
        <f aca="false">E80*G80</f>
        <v>15782.4753766521</v>
      </c>
      <c r="I80" s="48" t="n">
        <f aca="false">IF(F80&lt;365,Assumptions!$G$19,IF(F80&lt;=730,Assumptions!$H$19,Assumptions!$I$19))</f>
        <v>0</v>
      </c>
      <c r="J80" s="40" t="n">
        <f aca="false">H80*I80</f>
        <v>0</v>
      </c>
      <c r="K80" s="40" t="n">
        <f aca="false">H80-J80</f>
        <v>15782.4753766521</v>
      </c>
      <c r="L80" s="40" t="n">
        <f aca="false">K80-C80</f>
        <v>6782.47537665214</v>
      </c>
      <c r="M80" s="38" t="str">
        <f aca="false">IF(F80&gt;365,"LTCG","STCG")</f>
        <v>LTCG</v>
      </c>
      <c r="N80" s="48" t="n">
        <f aca="false">IF(M80="LTCG",Assumptions!$C$12,Assumptions!$C$11)</f>
        <v>0.125</v>
      </c>
      <c r="O80" s="38" t="str">
        <f aca="false">IF(M80="STCG",MAX(L80,0)*Assumptions!$C$11,"agg. below")</f>
        <v>agg. below</v>
      </c>
    </row>
    <row r="81" customFormat="false" ht="15" hidden="false" customHeight="false" outlineLevel="1" collapsed="false">
      <c r="A81" s="33" t="str">
        <f aca="false">TEXT(SIP_Fund1_PPFAS!B79,"mmm-yyyy")</f>
        <v>Mar-2031</v>
      </c>
      <c r="B81" s="34" t="n">
        <f aca="false">SIP_Fund1_PPFAS!B79</f>
        <v>47908</v>
      </c>
      <c r="C81" s="35" t="n">
        <f aca="false">SIP_Fund1_PPFAS!C79</f>
        <v>9000</v>
      </c>
      <c r="D81" s="36" t="n">
        <f aca="false">SIP_Fund1_PPFAS!D79</f>
        <v>150.820380901068</v>
      </c>
      <c r="E81" s="37" t="n">
        <f aca="false">SIP_Fund1_PPFAS!E79</f>
        <v>59.6736326100626</v>
      </c>
      <c r="F81" s="33" t="n">
        <f aca="false">Assumptions!$C$5-B81</f>
        <v>1781</v>
      </c>
      <c r="G81" s="36" t="n">
        <f aca="false">Assumptions!$D$19*(1+Assumptions!$F$19)^((Assumptions!$C$5-Assumptions!$C$4)/365)</f>
        <v>262.190538254849</v>
      </c>
      <c r="H81" s="35" t="n">
        <f aca="false">E81*G81</f>
        <v>15645.8618536544</v>
      </c>
      <c r="I81" s="47" t="n">
        <f aca="false">IF(F81&lt;365,Assumptions!$G$19,IF(F81&lt;=730,Assumptions!$H$19,Assumptions!$I$19))</f>
        <v>0</v>
      </c>
      <c r="J81" s="35" t="n">
        <f aca="false">H81*I81</f>
        <v>0</v>
      </c>
      <c r="K81" s="35" t="n">
        <f aca="false">H81-J81</f>
        <v>15645.8618536544</v>
      </c>
      <c r="L81" s="35" t="n">
        <f aca="false">K81-C81</f>
        <v>6645.86185365441</v>
      </c>
      <c r="M81" s="33" t="str">
        <f aca="false">IF(F81&gt;365,"LTCG","STCG")</f>
        <v>LTCG</v>
      </c>
      <c r="N81" s="47" t="n">
        <f aca="false">IF(M81="LTCG",Assumptions!$C$12,Assumptions!$C$11)</f>
        <v>0.125</v>
      </c>
      <c r="O81" s="33" t="str">
        <f aca="false">IF(M81="STCG",MAX(L81,0)*Assumptions!$C$11,"agg. below")</f>
        <v>agg. below</v>
      </c>
    </row>
    <row r="82" customFormat="false" ht="15" hidden="false" customHeight="false" outlineLevel="1" collapsed="false">
      <c r="A82" s="38" t="str">
        <f aca="false">TEXT(SIP_Fund1_PPFAS!B80,"mmm-yyyy")</f>
        <v>Apr-2031</v>
      </c>
      <c r="B82" s="39" t="n">
        <f aca="false">SIP_Fund1_PPFAS!B80</f>
        <v>47939</v>
      </c>
      <c r="C82" s="40" t="n">
        <f aca="false">SIP_Fund1_PPFAS!C80</f>
        <v>9000</v>
      </c>
      <c r="D82" s="41" t="n">
        <f aca="false">SIP_Fund1_PPFAS!D80</f>
        <v>152.279062385017</v>
      </c>
      <c r="E82" s="42" t="n">
        <f aca="false">SIP_Fund1_PPFAS!E80</f>
        <v>59.1020187479532</v>
      </c>
      <c r="F82" s="38" t="n">
        <f aca="false">Assumptions!$C$5-B82</f>
        <v>1750</v>
      </c>
      <c r="G82" s="41" t="n">
        <f aca="false">Assumptions!$D$19*(1+Assumptions!$F$19)^((Assumptions!$C$5-Assumptions!$C$4)/365)</f>
        <v>262.190538254849</v>
      </c>
      <c r="H82" s="40" t="n">
        <f aca="false">E82*G82</f>
        <v>15495.990107474</v>
      </c>
      <c r="I82" s="48" t="n">
        <f aca="false">IF(F82&lt;365,Assumptions!$G$19,IF(F82&lt;=730,Assumptions!$H$19,Assumptions!$I$19))</f>
        <v>0</v>
      </c>
      <c r="J82" s="40" t="n">
        <f aca="false">H82*I82</f>
        <v>0</v>
      </c>
      <c r="K82" s="40" t="n">
        <f aca="false">H82-J82</f>
        <v>15495.990107474</v>
      </c>
      <c r="L82" s="40" t="n">
        <f aca="false">K82-C82</f>
        <v>6495.99010747403</v>
      </c>
      <c r="M82" s="38" t="str">
        <f aca="false">IF(F82&gt;365,"LTCG","STCG")</f>
        <v>LTCG</v>
      </c>
      <c r="N82" s="48" t="n">
        <f aca="false">IF(M82="LTCG",Assumptions!$C$12,Assumptions!$C$11)</f>
        <v>0.125</v>
      </c>
      <c r="O82" s="38" t="str">
        <f aca="false">IF(M82="STCG",MAX(L82,0)*Assumptions!$C$11,"agg. below")</f>
        <v>agg. below</v>
      </c>
    </row>
    <row r="83" customFormat="false" ht="15" hidden="false" customHeight="false" outlineLevel="1" collapsed="false">
      <c r="A83" s="33" t="str">
        <f aca="false">TEXT(SIP_Fund1_PPFAS!B81,"mmm-yyyy")</f>
        <v>May-2031</v>
      </c>
      <c r="B83" s="34" t="n">
        <f aca="false">SIP_Fund1_PPFAS!B81</f>
        <v>47969</v>
      </c>
      <c r="C83" s="35" t="n">
        <f aca="false">SIP_Fund1_PPFAS!C81</f>
        <v>9000</v>
      </c>
      <c r="D83" s="36" t="n">
        <f aca="false">SIP_Fund1_PPFAS!D81</f>
        <v>153.704120788655</v>
      </c>
      <c r="E83" s="37" t="n">
        <f aca="false">SIP_Fund1_PPFAS!E81</f>
        <v>58.5540579772428</v>
      </c>
      <c r="F83" s="33" t="n">
        <f aca="false">Assumptions!$C$5-B83</f>
        <v>1720</v>
      </c>
      <c r="G83" s="36" t="n">
        <f aca="false">Assumptions!$D$19*(1+Assumptions!$F$19)^((Assumptions!$C$5-Assumptions!$C$4)/365)</f>
        <v>262.190538254849</v>
      </c>
      <c r="H83" s="35" t="n">
        <f aca="false">E83*G83</f>
        <v>15352.3199780589</v>
      </c>
      <c r="I83" s="47" t="n">
        <f aca="false">IF(F83&lt;365,Assumptions!$G$19,IF(F83&lt;=730,Assumptions!$H$19,Assumptions!$I$19))</f>
        <v>0</v>
      </c>
      <c r="J83" s="35" t="n">
        <f aca="false">H83*I83</f>
        <v>0</v>
      </c>
      <c r="K83" s="35" t="n">
        <f aca="false">H83-J83</f>
        <v>15352.3199780589</v>
      </c>
      <c r="L83" s="35" t="n">
        <f aca="false">K83-C83</f>
        <v>6352.31997805892</v>
      </c>
      <c r="M83" s="33" t="str">
        <f aca="false">IF(F83&gt;365,"LTCG","STCG")</f>
        <v>LTCG</v>
      </c>
      <c r="N83" s="47" t="n">
        <f aca="false">IF(M83="LTCG",Assumptions!$C$12,Assumptions!$C$11)</f>
        <v>0.125</v>
      </c>
      <c r="O83" s="33" t="str">
        <f aca="false">IF(M83="STCG",MAX(L83,0)*Assumptions!$C$11,"agg. below")</f>
        <v>agg. below</v>
      </c>
    </row>
    <row r="84" customFormat="false" ht="15" hidden="false" customHeight="false" outlineLevel="1" collapsed="false">
      <c r="A84" s="38" t="str">
        <f aca="false">TEXT(SIP_Fund1_PPFAS!B82,"mmm-yyyy")</f>
        <v>Jun-2031</v>
      </c>
      <c r="B84" s="39" t="n">
        <f aca="false">SIP_Fund1_PPFAS!B82</f>
        <v>48000</v>
      </c>
      <c r="C84" s="40" t="n">
        <f aca="false">SIP_Fund1_PPFAS!C82</f>
        <v>9000</v>
      </c>
      <c r="D84" s="41" t="n">
        <f aca="false">SIP_Fund1_PPFAS!D82</f>
        <v>155.190692786826</v>
      </c>
      <c r="E84" s="42" t="n">
        <f aca="false">SIP_Fund1_PPFAS!E82</f>
        <v>57.9931685230803</v>
      </c>
      <c r="F84" s="38" t="n">
        <f aca="false">Assumptions!$C$5-B84</f>
        <v>1689</v>
      </c>
      <c r="G84" s="41" t="n">
        <f aca="false">Assumptions!$D$19*(1+Assumptions!$F$19)^((Assumptions!$C$5-Assumptions!$C$4)/365)</f>
        <v>262.190538254849</v>
      </c>
      <c r="H84" s="40" t="n">
        <f aca="false">E84*G84</f>
        <v>15205.2600701706</v>
      </c>
      <c r="I84" s="48" t="n">
        <f aca="false">IF(F84&lt;365,Assumptions!$G$19,IF(F84&lt;=730,Assumptions!$H$19,Assumptions!$I$19))</f>
        <v>0</v>
      </c>
      <c r="J84" s="40" t="n">
        <f aca="false">H84*I84</f>
        <v>0</v>
      </c>
      <c r="K84" s="40" t="n">
        <f aca="false">H84-J84</f>
        <v>15205.2600701706</v>
      </c>
      <c r="L84" s="40" t="n">
        <f aca="false">K84-C84</f>
        <v>6205.2600701706</v>
      </c>
      <c r="M84" s="38" t="str">
        <f aca="false">IF(F84&gt;365,"LTCG","STCG")</f>
        <v>LTCG</v>
      </c>
      <c r="N84" s="48" t="n">
        <f aca="false">IF(M84="LTCG",Assumptions!$C$12,Assumptions!$C$11)</f>
        <v>0.125</v>
      </c>
      <c r="O84" s="38" t="str">
        <f aca="false">IF(M84="STCG",MAX(L84,0)*Assumptions!$C$11,"agg. below")</f>
        <v>agg. below</v>
      </c>
    </row>
    <row r="85" customFormat="false" ht="15" hidden="false" customHeight="false" outlineLevel="1" collapsed="false">
      <c r="A85" s="33" t="str">
        <f aca="false">TEXT(SIP_Fund1_PPFAS!B83,"mmm-yyyy")</f>
        <v>Jul-2031</v>
      </c>
      <c r="B85" s="34" t="n">
        <f aca="false">SIP_Fund1_PPFAS!B83</f>
        <v>48030</v>
      </c>
      <c r="C85" s="35" t="n">
        <f aca="false">SIP_Fund1_PPFAS!C83</f>
        <v>9000</v>
      </c>
      <c r="D85" s="36" t="n">
        <f aca="false">SIP_Fund1_PPFAS!D83</f>
        <v>156.642998819307</v>
      </c>
      <c r="E85" s="37" t="n">
        <f aca="false">SIP_Fund1_PPFAS!E83</f>
        <v>57.4554883897609</v>
      </c>
      <c r="F85" s="33" t="n">
        <f aca="false">Assumptions!$C$5-B85</f>
        <v>1659</v>
      </c>
      <c r="G85" s="36" t="n">
        <f aca="false">Assumptions!$D$19*(1+Assumptions!$F$19)^((Assumptions!$C$5-Assumptions!$C$4)/365)</f>
        <v>262.190538254849</v>
      </c>
      <c r="H85" s="35" t="n">
        <f aca="false">E85*G85</f>
        <v>15064.2854266066</v>
      </c>
      <c r="I85" s="47" t="n">
        <f aca="false">IF(F85&lt;365,Assumptions!$G$19,IF(F85&lt;=730,Assumptions!$H$19,Assumptions!$I$19))</f>
        <v>0</v>
      </c>
      <c r="J85" s="35" t="n">
        <f aca="false">H85*I85</f>
        <v>0</v>
      </c>
      <c r="K85" s="35" t="n">
        <f aca="false">H85-J85</f>
        <v>15064.2854266066</v>
      </c>
      <c r="L85" s="35" t="n">
        <f aca="false">K85-C85</f>
        <v>6064.28542660663</v>
      </c>
      <c r="M85" s="33" t="str">
        <f aca="false">IF(F85&gt;365,"LTCG","STCG")</f>
        <v>LTCG</v>
      </c>
      <c r="N85" s="47" t="n">
        <f aca="false">IF(M85="LTCG",Assumptions!$C$12,Assumptions!$C$11)</f>
        <v>0.125</v>
      </c>
      <c r="O85" s="33" t="str">
        <f aca="false">IF(M85="STCG",MAX(L85,0)*Assumptions!$C$11,"agg. below")</f>
        <v>agg. below</v>
      </c>
    </row>
    <row r="86" customFormat="false" ht="15" hidden="false" customHeight="false" outlineLevel="1" collapsed="false">
      <c r="A86" s="38" t="str">
        <f aca="false">TEXT(SIP_Fund1_PPFAS!B84,"mmm-yyyy")</f>
        <v>Aug-2031</v>
      </c>
      <c r="B86" s="39" t="n">
        <f aca="false">SIP_Fund1_PPFAS!B84</f>
        <v>48061</v>
      </c>
      <c r="C86" s="40" t="n">
        <f aca="false">SIP_Fund1_PPFAS!C84</f>
        <v>9000</v>
      </c>
      <c r="D86" s="41" t="n">
        <f aca="false">SIP_Fund1_PPFAS!D84</f>
        <v>158.157994608357</v>
      </c>
      <c r="E86" s="42" t="n">
        <f aca="false">SIP_Fund1_PPFAS!E84</f>
        <v>56.9051221361685</v>
      </c>
      <c r="F86" s="38" t="n">
        <f aca="false">Assumptions!$C$5-B86</f>
        <v>1628</v>
      </c>
      <c r="G86" s="41" t="n">
        <f aca="false">Assumptions!$D$19*(1+Assumptions!$F$19)^((Assumptions!$C$5-Assumptions!$C$4)/365)</f>
        <v>262.190538254849</v>
      </c>
      <c r="H86" s="40" t="n">
        <f aca="false">E86*G86</f>
        <v>14919.9846023399</v>
      </c>
      <c r="I86" s="48" t="n">
        <f aca="false">IF(F86&lt;365,Assumptions!$G$19,IF(F86&lt;=730,Assumptions!$H$19,Assumptions!$I$19))</f>
        <v>0</v>
      </c>
      <c r="J86" s="40" t="n">
        <f aca="false">H86*I86</f>
        <v>0</v>
      </c>
      <c r="K86" s="40" t="n">
        <f aca="false">H86-J86</f>
        <v>14919.9846023399</v>
      </c>
      <c r="L86" s="40" t="n">
        <f aca="false">K86-C86</f>
        <v>5919.98460233994</v>
      </c>
      <c r="M86" s="38" t="str">
        <f aca="false">IF(F86&gt;365,"LTCG","STCG")</f>
        <v>LTCG</v>
      </c>
      <c r="N86" s="48" t="n">
        <f aca="false">IF(M86="LTCG",Assumptions!$C$12,Assumptions!$C$11)</f>
        <v>0.125</v>
      </c>
      <c r="O86" s="38" t="str">
        <f aca="false">IF(M86="STCG",MAX(L86,0)*Assumptions!$C$11,"agg. below")</f>
        <v>agg. below</v>
      </c>
    </row>
    <row r="87" customFormat="false" ht="15" hidden="false" customHeight="false" outlineLevel="1" collapsed="false">
      <c r="A87" s="33" t="str">
        <f aca="false">TEXT(SIP_Fund1_PPFAS!B85,"mmm-yyyy")</f>
        <v>Sep-2031</v>
      </c>
      <c r="B87" s="34" t="n">
        <f aca="false">SIP_Fund1_PPFAS!B85</f>
        <v>48092</v>
      </c>
      <c r="C87" s="35" t="n">
        <f aca="false">SIP_Fund1_PPFAS!C85</f>
        <v>9000</v>
      </c>
      <c r="D87" s="36" t="n">
        <f aca="false">SIP_Fund1_PPFAS!D85</f>
        <v>159.687642901879</v>
      </c>
      <c r="E87" s="37" t="n">
        <f aca="false">SIP_Fund1_PPFAS!E85</f>
        <v>56.3600278421674</v>
      </c>
      <c r="F87" s="33" t="n">
        <f aca="false">Assumptions!$C$5-B87</f>
        <v>1597</v>
      </c>
      <c r="G87" s="36" t="n">
        <f aca="false">Assumptions!$D$19*(1+Assumptions!$F$19)^((Assumptions!$C$5-Assumptions!$C$4)/365)</f>
        <v>262.190538254849</v>
      </c>
      <c r="H87" s="35" t="n">
        <f aca="false">E87*G87</f>
        <v>14777.0660359962</v>
      </c>
      <c r="I87" s="47" t="n">
        <f aca="false">IF(F87&lt;365,Assumptions!$G$19,IF(F87&lt;=730,Assumptions!$H$19,Assumptions!$I$19))</f>
        <v>0</v>
      </c>
      <c r="J87" s="35" t="n">
        <f aca="false">H87*I87</f>
        <v>0</v>
      </c>
      <c r="K87" s="35" t="n">
        <f aca="false">H87-J87</f>
        <v>14777.0660359962</v>
      </c>
      <c r="L87" s="35" t="n">
        <f aca="false">K87-C87</f>
        <v>5777.06603599615</v>
      </c>
      <c r="M87" s="33" t="str">
        <f aca="false">IF(F87&gt;365,"LTCG","STCG")</f>
        <v>LTCG</v>
      </c>
      <c r="N87" s="47" t="n">
        <f aca="false">IF(M87="LTCG",Assumptions!$C$12,Assumptions!$C$11)</f>
        <v>0.125</v>
      </c>
      <c r="O87" s="33" t="str">
        <f aca="false">IF(M87="STCG",MAX(L87,0)*Assumptions!$C$11,"agg. below")</f>
        <v>agg. below</v>
      </c>
    </row>
    <row r="88" customFormat="false" ht="15" hidden="false" customHeight="false" outlineLevel="1" collapsed="false">
      <c r="A88" s="38" t="str">
        <f aca="false">TEXT(SIP_Fund1_PPFAS!B86,"mmm-yyyy")</f>
        <v>Oct-2031</v>
      </c>
      <c r="B88" s="39" t="n">
        <f aca="false">SIP_Fund1_PPFAS!B86</f>
        <v>48122</v>
      </c>
      <c r="C88" s="40" t="n">
        <f aca="false">SIP_Fund1_PPFAS!C86</f>
        <v>9000</v>
      </c>
      <c r="D88" s="41" t="n">
        <f aca="false">SIP_Fund1_PPFAS!D86</f>
        <v>161.182032307161</v>
      </c>
      <c r="E88" s="42" t="n">
        <f aca="false">SIP_Fund1_PPFAS!E86</f>
        <v>55.8374892733013</v>
      </c>
      <c r="F88" s="38" t="n">
        <f aca="false">Assumptions!$C$5-B88</f>
        <v>1567</v>
      </c>
      <c r="G88" s="41" t="n">
        <f aca="false">Assumptions!$D$19*(1+Assumptions!$F$19)^((Assumptions!$C$5-Assumptions!$C$4)/365)</f>
        <v>262.190538254849</v>
      </c>
      <c r="H88" s="40" t="n">
        <f aca="false">E88*G88</f>
        <v>14640.0613673662</v>
      </c>
      <c r="I88" s="48" t="n">
        <f aca="false">IF(F88&lt;365,Assumptions!$G$19,IF(F88&lt;=730,Assumptions!$H$19,Assumptions!$I$19))</f>
        <v>0</v>
      </c>
      <c r="J88" s="40" t="n">
        <f aca="false">H88*I88</f>
        <v>0</v>
      </c>
      <c r="K88" s="40" t="n">
        <f aca="false">H88-J88</f>
        <v>14640.0613673662</v>
      </c>
      <c r="L88" s="40" t="n">
        <f aca="false">K88-C88</f>
        <v>5640.06136736622</v>
      </c>
      <c r="M88" s="38" t="str">
        <f aca="false">IF(F88&gt;365,"LTCG","STCG")</f>
        <v>LTCG</v>
      </c>
      <c r="N88" s="48" t="n">
        <f aca="false">IF(M88="LTCG",Assumptions!$C$12,Assumptions!$C$11)</f>
        <v>0.125</v>
      </c>
      <c r="O88" s="38" t="str">
        <f aca="false">IF(M88="STCG",MAX(L88,0)*Assumptions!$C$11,"agg. below")</f>
        <v>agg. below</v>
      </c>
    </row>
    <row r="89" customFormat="false" ht="15" hidden="false" customHeight="false" outlineLevel="1" collapsed="false">
      <c r="A89" s="33" t="str">
        <f aca="false">TEXT(SIP_Fund1_PPFAS!B87,"mmm-yyyy")</f>
        <v>Nov-2031</v>
      </c>
      <c r="B89" s="34" t="n">
        <f aca="false">SIP_Fund1_PPFAS!B87</f>
        <v>48153</v>
      </c>
      <c r="C89" s="35" t="n">
        <f aca="false">SIP_Fund1_PPFAS!C87</f>
        <v>9000</v>
      </c>
      <c r="D89" s="36" t="n">
        <f aca="false">SIP_Fund1_PPFAS!D87</f>
        <v>162.740928025811</v>
      </c>
      <c r="E89" s="37" t="n">
        <f aca="false">SIP_Fund1_PPFAS!E87</f>
        <v>55.302621836915</v>
      </c>
      <c r="F89" s="33" t="n">
        <f aca="false">Assumptions!$C$5-B89</f>
        <v>1536</v>
      </c>
      <c r="G89" s="36" t="n">
        <f aca="false">Assumptions!$D$19*(1+Assumptions!$F$19)^((Assumptions!$C$5-Assumptions!$C$4)/365)</f>
        <v>262.190538254849</v>
      </c>
      <c r="H89" s="35" t="n">
        <f aca="false">E89*G89</f>
        <v>14499.8241863251</v>
      </c>
      <c r="I89" s="47" t="n">
        <f aca="false">IF(F89&lt;365,Assumptions!$G$19,IF(F89&lt;=730,Assumptions!$H$19,Assumptions!$I$19))</f>
        <v>0</v>
      </c>
      <c r="J89" s="35" t="n">
        <f aca="false">H89*I89</f>
        <v>0</v>
      </c>
      <c r="K89" s="35" t="n">
        <f aca="false">H89-J89</f>
        <v>14499.8241863251</v>
      </c>
      <c r="L89" s="35" t="n">
        <f aca="false">K89-C89</f>
        <v>5499.8241863251</v>
      </c>
      <c r="M89" s="33" t="str">
        <f aca="false">IF(F89&gt;365,"LTCG","STCG")</f>
        <v>LTCG</v>
      </c>
      <c r="N89" s="47" t="n">
        <f aca="false">IF(M89="LTCG",Assumptions!$C$12,Assumptions!$C$11)</f>
        <v>0.125</v>
      </c>
      <c r="O89" s="33" t="str">
        <f aca="false">IF(M89="STCG",MAX(L89,0)*Assumptions!$C$11,"agg. below")</f>
        <v>agg. below</v>
      </c>
    </row>
    <row r="90" customFormat="false" ht="15" hidden="false" customHeight="false" outlineLevel="1" collapsed="false">
      <c r="A90" s="38" t="str">
        <f aca="false">TEXT(SIP_Fund1_PPFAS!B88,"mmm-yyyy")</f>
        <v>Dec-2031</v>
      </c>
      <c r="B90" s="39" t="n">
        <f aca="false">SIP_Fund1_PPFAS!B88</f>
        <v>48183</v>
      </c>
      <c r="C90" s="40" t="n">
        <f aca="false">SIP_Fund1_PPFAS!C88</f>
        <v>9000</v>
      </c>
      <c r="D90" s="41" t="n">
        <f aca="false">SIP_Fund1_PPFAS!D88</f>
        <v>164.263890693604</v>
      </c>
      <c r="E90" s="42" t="n">
        <f aca="false">SIP_Fund1_PPFAS!E88</f>
        <v>54.7898869434878</v>
      </c>
      <c r="F90" s="38" t="n">
        <f aca="false">Assumptions!$C$5-B90</f>
        <v>1506</v>
      </c>
      <c r="G90" s="41" t="n">
        <f aca="false">Assumptions!$D$19*(1+Assumptions!$F$19)^((Assumptions!$C$5-Assumptions!$C$4)/365)</f>
        <v>262.190538254849</v>
      </c>
      <c r="H90" s="40" t="n">
        <f aca="false">E90*G90</f>
        <v>14365.3899486354</v>
      </c>
      <c r="I90" s="48" t="n">
        <f aca="false">IF(F90&lt;365,Assumptions!$G$19,IF(F90&lt;=730,Assumptions!$H$19,Assumptions!$I$19))</f>
        <v>0</v>
      </c>
      <c r="J90" s="40" t="n">
        <f aca="false">H90*I90</f>
        <v>0</v>
      </c>
      <c r="K90" s="40" t="n">
        <f aca="false">H90-J90</f>
        <v>14365.3899486354</v>
      </c>
      <c r="L90" s="40" t="n">
        <f aca="false">K90-C90</f>
        <v>5365.38994863538</v>
      </c>
      <c r="M90" s="38" t="str">
        <f aca="false">IF(F90&gt;365,"LTCG","STCG")</f>
        <v>LTCG</v>
      </c>
      <c r="N90" s="48" t="n">
        <f aca="false">IF(M90="LTCG",Assumptions!$C$12,Assumptions!$C$11)</f>
        <v>0.125</v>
      </c>
      <c r="O90" s="38" t="str">
        <f aca="false">IF(M90="STCG",MAX(L90,0)*Assumptions!$C$11,"agg. below")</f>
        <v>agg. below</v>
      </c>
    </row>
    <row r="91" customFormat="false" ht="15" hidden="false" customHeight="false" outlineLevel="1" collapsed="false">
      <c r="A91" s="33" t="str">
        <f aca="false">TEXT(SIP_Fund1_PPFAS!B89,"mmm-yyyy")</f>
        <v>Jan-2032</v>
      </c>
      <c r="B91" s="34" t="n">
        <f aca="false">SIP_Fund1_PPFAS!B89</f>
        <v>48214</v>
      </c>
      <c r="C91" s="35" t="n">
        <f aca="false">SIP_Fund1_PPFAS!C89</f>
        <v>10000</v>
      </c>
      <c r="D91" s="36" t="n">
        <f aca="false">SIP_Fund1_PPFAS!D89</f>
        <v>165.852593058661</v>
      </c>
      <c r="E91" s="37" t="n">
        <f aca="false">SIP_Fund1_PPFAS!E89</f>
        <v>60.2945049913274</v>
      </c>
      <c r="F91" s="33" t="n">
        <f aca="false">Assumptions!$C$5-B91</f>
        <v>1475</v>
      </c>
      <c r="G91" s="36" t="n">
        <f aca="false">Assumptions!$D$19*(1+Assumptions!$F$19)^((Assumptions!$C$5-Assumptions!$C$4)/365)</f>
        <v>262.190538254849</v>
      </c>
      <c r="H91" s="35" t="n">
        <f aca="false">E91*G91</f>
        <v>15808.6487174858</v>
      </c>
      <c r="I91" s="47" t="n">
        <f aca="false">IF(F91&lt;365,Assumptions!$G$19,IF(F91&lt;=730,Assumptions!$H$19,Assumptions!$I$19))</f>
        <v>0</v>
      </c>
      <c r="J91" s="35" t="n">
        <f aca="false">H91*I91</f>
        <v>0</v>
      </c>
      <c r="K91" s="35" t="n">
        <f aca="false">H91-J91</f>
        <v>15808.6487174858</v>
      </c>
      <c r="L91" s="35" t="n">
        <f aca="false">K91-C91</f>
        <v>5808.64871748582</v>
      </c>
      <c r="M91" s="33" t="str">
        <f aca="false">IF(F91&gt;365,"LTCG","STCG")</f>
        <v>LTCG</v>
      </c>
      <c r="N91" s="47" t="n">
        <f aca="false">IF(M91="LTCG",Assumptions!$C$12,Assumptions!$C$11)</f>
        <v>0.125</v>
      </c>
      <c r="O91" s="33" t="str">
        <f aca="false">IF(M91="STCG",MAX(L91,0)*Assumptions!$C$11,"agg. below")</f>
        <v>agg. below</v>
      </c>
    </row>
    <row r="92" customFormat="false" ht="15" hidden="false" customHeight="false" outlineLevel="1" collapsed="false">
      <c r="A92" s="38" t="str">
        <f aca="false">TEXT(SIP_Fund1_PPFAS!B90,"mmm-yyyy")</f>
        <v>Feb-2032</v>
      </c>
      <c r="B92" s="39" t="n">
        <f aca="false">SIP_Fund1_PPFAS!B90</f>
        <v>48245</v>
      </c>
      <c r="C92" s="40" t="n">
        <f aca="false">SIP_Fund1_PPFAS!C90</f>
        <v>10000</v>
      </c>
      <c r="D92" s="41" t="n">
        <f aca="false">SIP_Fund1_PPFAS!D90</f>
        <v>167.456660792174</v>
      </c>
      <c r="E92" s="42" t="n">
        <f aca="false">SIP_Fund1_PPFAS!E90</f>
        <v>59.7169437912698</v>
      </c>
      <c r="F92" s="38" t="n">
        <f aca="false">Assumptions!$C$5-B92</f>
        <v>1444</v>
      </c>
      <c r="G92" s="41" t="n">
        <f aca="false">Assumptions!$D$19*(1+Assumptions!$F$19)^((Assumptions!$C$5-Assumptions!$C$4)/365)</f>
        <v>262.190538254849</v>
      </c>
      <c r="H92" s="40" t="n">
        <f aca="false">E92*G92</f>
        <v>15657.2176355676</v>
      </c>
      <c r="I92" s="48" t="n">
        <f aca="false">IF(F92&lt;365,Assumptions!$G$19,IF(F92&lt;=730,Assumptions!$H$19,Assumptions!$I$19))</f>
        <v>0</v>
      </c>
      <c r="J92" s="40" t="n">
        <f aca="false">H92*I92</f>
        <v>0</v>
      </c>
      <c r="K92" s="40" t="n">
        <f aca="false">H92-J92</f>
        <v>15657.2176355676</v>
      </c>
      <c r="L92" s="40" t="n">
        <f aca="false">K92-C92</f>
        <v>5657.2176355676</v>
      </c>
      <c r="M92" s="38" t="str">
        <f aca="false">IF(F92&gt;365,"LTCG","STCG")</f>
        <v>LTCG</v>
      </c>
      <c r="N92" s="48" t="n">
        <f aca="false">IF(M92="LTCG",Assumptions!$C$12,Assumptions!$C$11)</f>
        <v>0.125</v>
      </c>
      <c r="O92" s="38" t="str">
        <f aca="false">IF(M92="STCG",MAX(L92,0)*Assumptions!$C$11,"agg. below")</f>
        <v>agg. below</v>
      </c>
    </row>
    <row r="93" customFormat="false" ht="15" hidden="false" customHeight="false" outlineLevel="1" collapsed="false">
      <c r="A93" s="33" t="str">
        <f aca="false">TEXT(SIP_Fund1_PPFAS!B91,"mmm-yyyy")</f>
        <v>Mar-2032</v>
      </c>
      <c r="B93" s="34" t="n">
        <f aca="false">SIP_Fund1_PPFAS!B91</f>
        <v>48274</v>
      </c>
      <c r="C93" s="35" t="n">
        <f aca="false">SIP_Fund1_PPFAS!C91</f>
        <v>10000</v>
      </c>
      <c r="D93" s="36" t="n">
        <f aca="false">SIP_Fund1_PPFAS!D91</f>
        <v>168.971282282499</v>
      </c>
      <c r="E93" s="37" t="n">
        <f aca="false">SIP_Fund1_PPFAS!E91</f>
        <v>59.1816542131772</v>
      </c>
      <c r="F93" s="33" t="n">
        <f aca="false">Assumptions!$C$5-B93</f>
        <v>1415</v>
      </c>
      <c r="G93" s="36" t="n">
        <f aca="false">Assumptions!$D$19*(1+Assumptions!$F$19)^((Assumptions!$C$5-Assumptions!$C$4)/365)</f>
        <v>262.190538254849</v>
      </c>
      <c r="H93" s="35" t="n">
        <f aca="false">E93*G93</f>
        <v>15516.8697729653</v>
      </c>
      <c r="I93" s="47" t="n">
        <f aca="false">IF(F93&lt;365,Assumptions!$G$19,IF(F93&lt;=730,Assumptions!$H$19,Assumptions!$I$19))</f>
        <v>0</v>
      </c>
      <c r="J93" s="35" t="n">
        <f aca="false">H93*I93</f>
        <v>0</v>
      </c>
      <c r="K93" s="35" t="n">
        <f aca="false">H93-J93</f>
        <v>15516.8697729653</v>
      </c>
      <c r="L93" s="35" t="n">
        <f aca="false">K93-C93</f>
        <v>5516.86977296528</v>
      </c>
      <c r="M93" s="33" t="str">
        <f aca="false">IF(F93&gt;365,"LTCG","STCG")</f>
        <v>LTCG</v>
      </c>
      <c r="N93" s="47" t="n">
        <f aca="false">IF(M93="LTCG",Assumptions!$C$12,Assumptions!$C$11)</f>
        <v>0.125</v>
      </c>
      <c r="O93" s="33" t="str">
        <f aca="false">IF(M93="STCG",MAX(L93,0)*Assumptions!$C$11,"agg. below")</f>
        <v>agg. below</v>
      </c>
    </row>
    <row r="94" customFormat="false" ht="15" hidden="false" customHeight="false" outlineLevel="1" collapsed="false">
      <c r="A94" s="38" t="str">
        <f aca="false">TEXT(SIP_Fund1_PPFAS!B92,"mmm-yyyy")</f>
        <v>Apr-2032</v>
      </c>
      <c r="B94" s="39" t="n">
        <f aca="false">SIP_Fund1_PPFAS!B92</f>
        <v>48305</v>
      </c>
      <c r="C94" s="40" t="n">
        <f aca="false">SIP_Fund1_PPFAS!C92</f>
        <v>10000</v>
      </c>
      <c r="D94" s="41" t="n">
        <f aca="false">SIP_Fund1_PPFAS!D92</f>
        <v>170.605512877277</v>
      </c>
      <c r="E94" s="42" t="n">
        <f aca="false">SIP_Fund1_PPFAS!E92</f>
        <v>58.6147530132474</v>
      </c>
      <c r="F94" s="38" t="n">
        <f aca="false">Assumptions!$C$5-B94</f>
        <v>1384</v>
      </c>
      <c r="G94" s="41" t="n">
        <f aca="false">Assumptions!$D$19*(1+Assumptions!$F$19)^((Assumptions!$C$5-Assumptions!$C$4)/365)</f>
        <v>262.190538254849</v>
      </c>
      <c r="H94" s="40" t="n">
        <f aca="false">E94*G94</f>
        <v>15368.2336422184</v>
      </c>
      <c r="I94" s="48" t="n">
        <f aca="false">IF(F94&lt;365,Assumptions!$G$19,IF(F94&lt;=730,Assumptions!$H$19,Assumptions!$I$19))</f>
        <v>0</v>
      </c>
      <c r="J94" s="40" t="n">
        <f aca="false">H94*I94</f>
        <v>0</v>
      </c>
      <c r="K94" s="40" t="n">
        <f aca="false">H94-J94</f>
        <v>15368.2336422184</v>
      </c>
      <c r="L94" s="40" t="n">
        <f aca="false">K94-C94</f>
        <v>5368.23364221837</v>
      </c>
      <c r="M94" s="38" t="str">
        <f aca="false">IF(F94&gt;365,"LTCG","STCG")</f>
        <v>LTCG</v>
      </c>
      <c r="N94" s="48" t="n">
        <f aca="false">IF(M94="LTCG",Assumptions!$C$12,Assumptions!$C$11)</f>
        <v>0.125</v>
      </c>
      <c r="O94" s="38" t="str">
        <f aca="false">IF(M94="STCG",MAX(L94,0)*Assumptions!$C$11,"agg. below")</f>
        <v>agg. below</v>
      </c>
    </row>
    <row r="95" customFormat="false" ht="15" hidden="false" customHeight="false" outlineLevel="1" collapsed="false">
      <c r="A95" s="33" t="str">
        <f aca="false">TEXT(SIP_Fund1_PPFAS!B93,"mmm-yyyy")</f>
        <v>May-2032</v>
      </c>
      <c r="B95" s="34" t="n">
        <f aca="false">SIP_Fund1_PPFAS!B93</f>
        <v>48335</v>
      </c>
      <c r="C95" s="35" t="n">
        <f aca="false">SIP_Fund1_PPFAS!C93</f>
        <v>10000</v>
      </c>
      <c r="D95" s="36" t="n">
        <f aca="false">SIP_Fund1_PPFAS!D93</f>
        <v>172.202073927922</v>
      </c>
      <c r="E95" s="37" t="n">
        <f aca="false">SIP_Fund1_PPFAS!E93</f>
        <v>58.0713098971482</v>
      </c>
      <c r="F95" s="33" t="n">
        <f aca="false">Assumptions!$C$5-B95</f>
        <v>1354</v>
      </c>
      <c r="G95" s="36" t="n">
        <f aca="false">Assumptions!$D$19*(1+Assumptions!$F$19)^((Assumptions!$C$5-Assumptions!$C$4)/365)</f>
        <v>262.190538254849</v>
      </c>
      <c r="H95" s="35" t="n">
        <f aca="false">E95*G95</f>
        <v>15225.7479990974</v>
      </c>
      <c r="I95" s="47" t="n">
        <f aca="false">IF(F95&lt;365,Assumptions!$G$19,IF(F95&lt;=730,Assumptions!$H$19,Assumptions!$I$19))</f>
        <v>0</v>
      </c>
      <c r="J95" s="35" t="n">
        <f aca="false">H95*I95</f>
        <v>0</v>
      </c>
      <c r="K95" s="35" t="n">
        <f aca="false">H95-J95</f>
        <v>15225.7479990974</v>
      </c>
      <c r="L95" s="35" t="n">
        <f aca="false">K95-C95</f>
        <v>5225.74799909743</v>
      </c>
      <c r="M95" s="33" t="str">
        <f aca="false">IF(F95&gt;365,"LTCG","STCG")</f>
        <v>LTCG</v>
      </c>
      <c r="N95" s="47" t="n">
        <f aca="false">IF(M95="LTCG",Assumptions!$C$12,Assumptions!$C$11)</f>
        <v>0.125</v>
      </c>
      <c r="O95" s="33" t="str">
        <f aca="false">IF(M95="STCG",MAX(L95,0)*Assumptions!$C$11,"agg. below")</f>
        <v>agg. below</v>
      </c>
    </row>
    <row r="96" customFormat="false" ht="15" hidden="false" customHeight="false" outlineLevel="1" collapsed="false">
      <c r="A96" s="38" t="str">
        <f aca="false">TEXT(SIP_Fund1_PPFAS!B94,"mmm-yyyy")</f>
        <v>Jun-2032</v>
      </c>
      <c r="B96" s="39" t="n">
        <f aca="false">SIP_Fund1_PPFAS!B94</f>
        <v>48366</v>
      </c>
      <c r="C96" s="40" t="n">
        <f aca="false">SIP_Fund1_PPFAS!C94</f>
        <v>10000</v>
      </c>
      <c r="D96" s="41" t="n">
        <f aca="false">SIP_Fund1_PPFAS!D94</f>
        <v>173.867551599014</v>
      </c>
      <c r="E96" s="42" t="n">
        <f aca="false">SIP_Fund1_PPFAS!E94</f>
        <v>57.5150446879398</v>
      </c>
      <c r="F96" s="38" t="n">
        <f aca="false">Assumptions!$C$5-B96</f>
        <v>1323</v>
      </c>
      <c r="G96" s="41" t="n">
        <f aca="false">Assumptions!$D$19*(1+Assumptions!$F$19)^((Assumptions!$C$5-Assumptions!$C$4)/365)</f>
        <v>262.190538254849</v>
      </c>
      <c r="H96" s="40" t="n">
        <f aca="false">E96*G96</f>
        <v>15079.9005244826</v>
      </c>
      <c r="I96" s="48" t="n">
        <f aca="false">IF(F96&lt;365,Assumptions!$G$19,IF(F96&lt;=730,Assumptions!$H$19,Assumptions!$I$19))</f>
        <v>0</v>
      </c>
      <c r="J96" s="40" t="n">
        <f aca="false">H96*I96</f>
        <v>0</v>
      </c>
      <c r="K96" s="40" t="n">
        <f aca="false">H96-J96</f>
        <v>15079.9005244826</v>
      </c>
      <c r="L96" s="40" t="n">
        <f aca="false">K96-C96</f>
        <v>5079.90052448264</v>
      </c>
      <c r="M96" s="38" t="str">
        <f aca="false">IF(F96&gt;365,"LTCG","STCG")</f>
        <v>LTCG</v>
      </c>
      <c r="N96" s="48" t="n">
        <f aca="false">IF(M96="LTCG",Assumptions!$C$12,Assumptions!$C$11)</f>
        <v>0.125</v>
      </c>
      <c r="O96" s="38" t="str">
        <f aca="false">IF(M96="STCG",MAX(L96,0)*Assumptions!$C$11,"agg. below")</f>
        <v>agg. below</v>
      </c>
    </row>
    <row r="97" customFormat="false" ht="15" hidden="false" customHeight="false" outlineLevel="1" collapsed="false">
      <c r="A97" s="33" t="str">
        <f aca="false">TEXT(SIP_Fund1_PPFAS!B95,"mmm-yyyy")</f>
        <v>Jul-2032</v>
      </c>
      <c r="B97" s="34" t="n">
        <f aca="false">SIP_Fund1_PPFAS!B95</f>
        <v>48396</v>
      </c>
      <c r="C97" s="35" t="n">
        <f aca="false">SIP_Fund1_PPFAS!C95</f>
        <v>10000</v>
      </c>
      <c r="D97" s="36" t="n">
        <f aca="false">SIP_Fund1_PPFAS!D95</f>
        <v>175.494639470751</v>
      </c>
      <c r="E97" s="37" t="n">
        <f aca="false">SIP_Fund1_PPFAS!E95</f>
        <v>56.9817974506661</v>
      </c>
      <c r="F97" s="33" t="n">
        <f aca="false">Assumptions!$C$5-B97</f>
        <v>1293</v>
      </c>
      <c r="G97" s="36" t="n">
        <f aca="false">Assumptions!$D$19*(1+Assumptions!$F$19)^((Assumptions!$C$5-Assumptions!$C$4)/365)</f>
        <v>262.190538254849</v>
      </c>
      <c r="H97" s="35" t="n">
        <f aca="false">E97*G97</f>
        <v>14940.0881443189</v>
      </c>
      <c r="I97" s="47" t="n">
        <f aca="false">IF(F97&lt;365,Assumptions!$G$19,IF(F97&lt;=730,Assumptions!$H$19,Assumptions!$I$19))</f>
        <v>0</v>
      </c>
      <c r="J97" s="35" t="n">
        <f aca="false">H97*I97</f>
        <v>0</v>
      </c>
      <c r="K97" s="35" t="n">
        <f aca="false">H97-J97</f>
        <v>14940.0881443189</v>
      </c>
      <c r="L97" s="35" t="n">
        <f aca="false">K97-C97</f>
        <v>4940.08814431892</v>
      </c>
      <c r="M97" s="33" t="str">
        <f aca="false">IF(F97&gt;365,"LTCG","STCG")</f>
        <v>LTCG</v>
      </c>
      <c r="N97" s="47" t="n">
        <f aca="false">IF(M97="LTCG",Assumptions!$C$12,Assumptions!$C$11)</f>
        <v>0.125</v>
      </c>
      <c r="O97" s="33" t="str">
        <f aca="false">IF(M97="STCG",MAX(L97,0)*Assumptions!$C$11,"agg. below")</f>
        <v>agg. below</v>
      </c>
    </row>
    <row r="98" customFormat="false" ht="15" hidden="false" customHeight="false" outlineLevel="1" collapsed="false">
      <c r="A98" s="38" t="str">
        <f aca="false">TEXT(SIP_Fund1_PPFAS!B96,"mmm-yyyy")</f>
        <v>Aug-2032</v>
      </c>
      <c r="B98" s="39" t="n">
        <f aca="false">SIP_Fund1_PPFAS!B96</f>
        <v>48427</v>
      </c>
      <c r="C98" s="40" t="n">
        <f aca="false">SIP_Fund1_PPFAS!C96</f>
        <v>10000</v>
      </c>
      <c r="D98" s="41" t="n">
        <f aca="false">SIP_Fund1_PPFAS!D96</f>
        <v>177.191961673486</v>
      </c>
      <c r="E98" s="42" t="n">
        <f aca="false">SIP_Fund1_PPFAS!E96</f>
        <v>56.4359686836535</v>
      </c>
      <c r="F98" s="38" t="n">
        <f aca="false">Assumptions!$C$5-B98</f>
        <v>1262</v>
      </c>
      <c r="G98" s="41" t="n">
        <f aca="false">Assumptions!$D$19*(1+Assumptions!$F$19)^((Assumptions!$C$5-Assumptions!$C$4)/365)</f>
        <v>262.190538254849</v>
      </c>
      <c r="H98" s="40" t="n">
        <f aca="false">E98*G98</f>
        <v>14796.9770061009</v>
      </c>
      <c r="I98" s="48" t="n">
        <f aca="false">IF(F98&lt;365,Assumptions!$G$19,IF(F98&lt;=730,Assumptions!$H$19,Assumptions!$I$19))</f>
        <v>0</v>
      </c>
      <c r="J98" s="40" t="n">
        <f aca="false">H98*I98</f>
        <v>0</v>
      </c>
      <c r="K98" s="40" t="n">
        <f aca="false">H98-J98</f>
        <v>14796.9770061009</v>
      </c>
      <c r="L98" s="40" t="n">
        <f aca="false">K98-C98</f>
        <v>4796.97700610092</v>
      </c>
      <c r="M98" s="38" t="str">
        <f aca="false">IF(F98&gt;365,"LTCG","STCG")</f>
        <v>LTCG</v>
      </c>
      <c r="N98" s="48" t="n">
        <f aca="false">IF(M98="LTCG",Assumptions!$C$12,Assumptions!$C$11)</f>
        <v>0.125</v>
      </c>
      <c r="O98" s="38" t="str">
        <f aca="false">IF(M98="STCG",MAX(L98,0)*Assumptions!$C$11,"agg. below")</f>
        <v>agg. below</v>
      </c>
    </row>
    <row r="99" customFormat="false" ht="15" hidden="false" customHeight="false" outlineLevel="1" collapsed="false">
      <c r="A99" s="33" t="str">
        <f aca="false">TEXT(SIP_Fund1_PPFAS!B97,"mmm-yyyy")</f>
        <v>Sep-2032</v>
      </c>
      <c r="B99" s="34" t="n">
        <f aca="false">SIP_Fund1_PPFAS!B97</f>
        <v>48458</v>
      </c>
      <c r="C99" s="35" t="n">
        <f aca="false">SIP_Fund1_PPFAS!C97</f>
        <v>10000</v>
      </c>
      <c r="D99" s="36" t="n">
        <f aca="false">SIP_Fund1_PPFAS!D97</f>
        <v>178.905699777405</v>
      </c>
      <c r="E99" s="37" t="n">
        <f aca="false">SIP_Fund1_PPFAS!E97</f>
        <v>55.8953684116382</v>
      </c>
      <c r="F99" s="33" t="n">
        <f aca="false">Assumptions!$C$5-B99</f>
        <v>1231</v>
      </c>
      <c r="G99" s="36" t="n">
        <f aca="false">Assumptions!$D$19*(1+Assumptions!$F$19)^((Assumptions!$C$5-Assumptions!$C$4)/365)</f>
        <v>262.190538254849</v>
      </c>
      <c r="H99" s="35" t="n">
        <f aca="false">E99*G99</f>
        <v>14655.2367298005</v>
      </c>
      <c r="I99" s="47" t="n">
        <f aca="false">IF(F99&lt;365,Assumptions!$G$19,IF(F99&lt;=730,Assumptions!$H$19,Assumptions!$I$19))</f>
        <v>0</v>
      </c>
      <c r="J99" s="35" t="n">
        <f aca="false">H99*I99</f>
        <v>0</v>
      </c>
      <c r="K99" s="35" t="n">
        <f aca="false">H99-J99</f>
        <v>14655.2367298005</v>
      </c>
      <c r="L99" s="35" t="n">
        <f aca="false">K99-C99</f>
        <v>4655.2367298005</v>
      </c>
      <c r="M99" s="33" t="str">
        <f aca="false">IF(F99&gt;365,"LTCG","STCG")</f>
        <v>LTCG</v>
      </c>
      <c r="N99" s="47" t="n">
        <f aca="false">IF(M99="LTCG",Assumptions!$C$12,Assumptions!$C$11)</f>
        <v>0.125</v>
      </c>
      <c r="O99" s="33" t="str">
        <f aca="false">IF(M99="STCG",MAX(L99,0)*Assumptions!$C$11,"agg. below")</f>
        <v>agg. below</v>
      </c>
    </row>
    <row r="100" customFormat="false" ht="15" hidden="false" customHeight="false" outlineLevel="1" collapsed="false">
      <c r="A100" s="38" t="str">
        <f aca="false">TEXT(SIP_Fund1_PPFAS!B98,"mmm-yyyy")</f>
        <v>Oct-2032</v>
      </c>
      <c r="B100" s="39" t="n">
        <f aca="false">SIP_Fund1_PPFAS!B98</f>
        <v>48488</v>
      </c>
      <c r="C100" s="40" t="n">
        <f aca="false">SIP_Fund1_PPFAS!C98</f>
        <v>10000</v>
      </c>
      <c r="D100" s="41" t="n">
        <f aca="false">SIP_Fund1_PPFAS!D98</f>
        <v>180.579935663373</v>
      </c>
      <c r="E100" s="42" t="n">
        <f aca="false">SIP_Fund1_PPFAS!E98</f>
        <v>55.3771379044096</v>
      </c>
      <c r="F100" s="38" t="n">
        <f aca="false">Assumptions!$C$5-B100</f>
        <v>1201</v>
      </c>
      <c r="G100" s="41" t="n">
        <f aca="false">Assumptions!$D$19*(1+Assumptions!$F$19)^((Assumptions!$C$5-Assumptions!$C$4)/365)</f>
        <v>262.190538254849</v>
      </c>
      <c r="H100" s="40" t="n">
        <f aca="false">E100*G100</f>
        <v>14519.3615941701</v>
      </c>
      <c r="I100" s="48" t="n">
        <f aca="false">IF(F100&lt;365,Assumptions!$G$19,IF(F100&lt;=730,Assumptions!$H$19,Assumptions!$I$19))</f>
        <v>0</v>
      </c>
      <c r="J100" s="40" t="n">
        <f aca="false">H100*I100</f>
        <v>0</v>
      </c>
      <c r="K100" s="40" t="n">
        <f aca="false">H100-J100</f>
        <v>14519.3615941701</v>
      </c>
      <c r="L100" s="40" t="n">
        <f aca="false">K100-C100</f>
        <v>4519.36159417015</v>
      </c>
      <c r="M100" s="38" t="str">
        <f aca="false">IF(F100&gt;365,"LTCG","STCG")</f>
        <v>LTCG</v>
      </c>
      <c r="N100" s="48" t="n">
        <f aca="false">IF(M100="LTCG",Assumptions!$C$12,Assumptions!$C$11)</f>
        <v>0.125</v>
      </c>
      <c r="O100" s="38" t="str">
        <f aca="false">IF(M100="STCG",MAX(L100,0)*Assumptions!$C$11,"agg. below")</f>
        <v>agg. below</v>
      </c>
    </row>
    <row r="101" customFormat="false" ht="15" hidden="false" customHeight="false" outlineLevel="1" collapsed="false">
      <c r="A101" s="33" t="str">
        <f aca="false">TEXT(SIP_Fund1_PPFAS!B99,"mmm-yyyy")</f>
        <v>Nov-2032</v>
      </c>
      <c r="B101" s="34" t="n">
        <f aca="false">SIP_Fund1_PPFAS!B99</f>
        <v>48519</v>
      </c>
      <c r="C101" s="35" t="n">
        <f aca="false">SIP_Fund1_PPFAS!C99</f>
        <v>10000</v>
      </c>
      <c r="D101" s="36" t="n">
        <f aca="false">SIP_Fund1_PPFAS!D99</f>
        <v>182.326441055755</v>
      </c>
      <c r="E101" s="37" t="n">
        <f aca="false">SIP_Fund1_PPFAS!E99</f>
        <v>54.8466801748299</v>
      </c>
      <c r="F101" s="33" t="n">
        <f aca="false">Assumptions!$C$5-B101</f>
        <v>1170</v>
      </c>
      <c r="G101" s="36" t="n">
        <f aca="false">Assumptions!$D$19*(1+Assumptions!$F$19)^((Assumptions!$C$5-Assumptions!$C$4)/365)</f>
        <v>262.190538254849</v>
      </c>
      <c r="H101" s="35" t="n">
        <f aca="false">E101*G101</f>
        <v>14380.2805965302</v>
      </c>
      <c r="I101" s="47" t="n">
        <f aca="false">IF(F101&lt;365,Assumptions!$G$19,IF(F101&lt;=730,Assumptions!$H$19,Assumptions!$I$19))</f>
        <v>0</v>
      </c>
      <c r="J101" s="35" t="n">
        <f aca="false">H101*I101</f>
        <v>0</v>
      </c>
      <c r="K101" s="35" t="n">
        <f aca="false">H101-J101</f>
        <v>14380.2805965302</v>
      </c>
      <c r="L101" s="35" t="n">
        <f aca="false">K101-C101</f>
        <v>4380.28059653022</v>
      </c>
      <c r="M101" s="33" t="str">
        <f aca="false">IF(F101&gt;365,"LTCG","STCG")</f>
        <v>LTCG</v>
      </c>
      <c r="N101" s="47" t="n">
        <f aca="false">IF(M101="LTCG",Assumptions!$C$12,Assumptions!$C$11)</f>
        <v>0.125</v>
      </c>
      <c r="O101" s="33" t="str">
        <f aca="false">IF(M101="STCG",MAX(L101,0)*Assumptions!$C$11,"agg. below")</f>
        <v>agg. below</v>
      </c>
    </row>
    <row r="102" customFormat="false" ht="15" hidden="false" customHeight="false" outlineLevel="1" collapsed="false">
      <c r="A102" s="38" t="str">
        <f aca="false">TEXT(SIP_Fund1_PPFAS!B100,"mmm-yyyy")</f>
        <v>Dec-2032</v>
      </c>
      <c r="B102" s="39" t="n">
        <f aca="false">SIP_Fund1_PPFAS!B100</f>
        <v>48549</v>
      </c>
      <c r="C102" s="40" t="n">
        <f aca="false">SIP_Fund1_PPFAS!C100</f>
        <v>10000</v>
      </c>
      <c r="D102" s="41" t="n">
        <f aca="false">SIP_Fund1_PPFAS!D100</f>
        <v>184.032688933582</v>
      </c>
      <c r="E102" s="42" t="n">
        <f aca="false">SIP_Fund1_PPFAS!E100</f>
        <v>54.3381725167806</v>
      </c>
      <c r="F102" s="38" t="n">
        <f aca="false">Assumptions!$C$5-B102</f>
        <v>1140</v>
      </c>
      <c r="G102" s="41" t="n">
        <f aca="false">Assumptions!$D$19*(1+Assumptions!$F$19)^((Assumptions!$C$5-Assumptions!$C$4)/365)</f>
        <v>262.190538254849</v>
      </c>
      <c r="H102" s="40" t="n">
        <f aca="false">E102*G102</f>
        <v>14246.9546999596</v>
      </c>
      <c r="I102" s="48" t="n">
        <f aca="false">IF(F102&lt;365,Assumptions!$G$19,IF(F102&lt;=730,Assumptions!$H$19,Assumptions!$I$19))</f>
        <v>0</v>
      </c>
      <c r="J102" s="40" t="n">
        <f aca="false">H102*I102</f>
        <v>0</v>
      </c>
      <c r="K102" s="40" t="n">
        <f aca="false">H102-J102</f>
        <v>14246.9546999596</v>
      </c>
      <c r="L102" s="40" t="n">
        <f aca="false">K102-C102</f>
        <v>4246.95469995956</v>
      </c>
      <c r="M102" s="38" t="str">
        <f aca="false">IF(F102&gt;365,"LTCG","STCG")</f>
        <v>LTCG</v>
      </c>
      <c r="N102" s="48" t="n">
        <f aca="false">IF(M102="LTCG",Assumptions!$C$12,Assumptions!$C$11)</f>
        <v>0.125</v>
      </c>
      <c r="O102" s="38" t="str">
        <f aca="false">IF(M102="STCG",MAX(L102,0)*Assumptions!$C$11,"agg. below")</f>
        <v>agg. below</v>
      </c>
    </row>
    <row r="103" customFormat="false" ht="15" hidden="false" customHeight="false" outlineLevel="1" collapsed="false">
      <c r="A103" s="33" t="str">
        <f aca="false">TEXT(SIP_Fund1_PPFAS!B101,"mmm-yyyy")</f>
        <v>Jan-2033</v>
      </c>
      <c r="B103" s="34" t="n">
        <f aca="false">SIP_Fund1_PPFAS!B101</f>
        <v>48580</v>
      </c>
      <c r="C103" s="35" t="n">
        <f aca="false">SIP_Fund1_PPFAS!C101</f>
        <v>11000</v>
      </c>
      <c r="D103" s="36" t="n">
        <f aca="false">SIP_Fund1_PPFAS!D101</f>
        <v>185.81258813676</v>
      </c>
      <c r="E103" s="37" t="n">
        <f aca="false">SIP_Fund1_PPFAS!E101</f>
        <v>59.199433742906</v>
      </c>
      <c r="F103" s="33" t="n">
        <f aca="false">Assumptions!$C$5-B103</f>
        <v>1109</v>
      </c>
      <c r="G103" s="36" t="n">
        <f aca="false">Assumptions!$D$19*(1+Assumptions!$F$19)^((Assumptions!$C$5-Assumptions!$C$4)/365)</f>
        <v>262.190538254849</v>
      </c>
      <c r="H103" s="35" t="n">
        <f aca="false">E103*G103</f>
        <v>15521.5313974348</v>
      </c>
      <c r="I103" s="47" t="n">
        <f aca="false">IF(F103&lt;365,Assumptions!$G$19,IF(F103&lt;=730,Assumptions!$H$19,Assumptions!$I$19))</f>
        <v>0</v>
      </c>
      <c r="J103" s="35" t="n">
        <f aca="false">H103*I103</f>
        <v>0</v>
      </c>
      <c r="K103" s="35" t="n">
        <f aca="false">H103-J103</f>
        <v>15521.5313974348</v>
      </c>
      <c r="L103" s="35" t="n">
        <f aca="false">K103-C103</f>
        <v>4521.53139743479</v>
      </c>
      <c r="M103" s="33" t="str">
        <f aca="false">IF(F103&gt;365,"LTCG","STCG")</f>
        <v>LTCG</v>
      </c>
      <c r="N103" s="47" t="n">
        <f aca="false">IF(M103="LTCG",Assumptions!$C$12,Assumptions!$C$11)</f>
        <v>0.125</v>
      </c>
      <c r="O103" s="33" t="str">
        <f aca="false">IF(M103="STCG",MAX(L103,0)*Assumptions!$C$11,"agg. below")</f>
        <v>agg. below</v>
      </c>
    </row>
    <row r="104" customFormat="false" ht="15" hidden="false" customHeight="false" outlineLevel="1" collapsed="false">
      <c r="A104" s="38" t="str">
        <f aca="false">TEXT(SIP_Fund1_PPFAS!B102,"mmm-yyyy")</f>
        <v>Feb-2033</v>
      </c>
      <c r="B104" s="39" t="n">
        <f aca="false">SIP_Fund1_PPFAS!B102</f>
        <v>48611</v>
      </c>
      <c r="C104" s="40" t="n">
        <f aca="false">SIP_Fund1_PPFAS!C102</f>
        <v>11000</v>
      </c>
      <c r="D104" s="41" t="n">
        <f aca="false">SIP_Fund1_PPFAS!D102</f>
        <v>187.60970189672</v>
      </c>
      <c r="E104" s="42" t="n">
        <f aca="false">SIP_Fund1_PPFAS!E102</f>
        <v>58.6323622328206</v>
      </c>
      <c r="F104" s="38" t="n">
        <f aca="false">Assumptions!$C$5-B104</f>
        <v>1078</v>
      </c>
      <c r="G104" s="41" t="n">
        <f aca="false">Assumptions!$D$19*(1+Assumptions!$F$19)^((Assumptions!$C$5-Assumptions!$C$4)/365)</f>
        <v>262.190538254849</v>
      </c>
      <c r="H104" s="40" t="n">
        <f aca="false">E104*G104</f>
        <v>15372.8506129765</v>
      </c>
      <c r="I104" s="48" t="n">
        <f aca="false">IF(F104&lt;365,Assumptions!$G$19,IF(F104&lt;=730,Assumptions!$H$19,Assumptions!$I$19))</f>
        <v>0</v>
      </c>
      <c r="J104" s="40" t="n">
        <f aca="false">H104*I104</f>
        <v>0</v>
      </c>
      <c r="K104" s="40" t="n">
        <f aca="false">H104-J104</f>
        <v>15372.8506129765</v>
      </c>
      <c r="L104" s="40" t="n">
        <f aca="false">K104-C104</f>
        <v>4372.85061297651</v>
      </c>
      <c r="M104" s="38" t="str">
        <f aca="false">IF(F104&gt;365,"LTCG","STCG")</f>
        <v>LTCG</v>
      </c>
      <c r="N104" s="48" t="n">
        <f aca="false">IF(M104="LTCG",Assumptions!$C$12,Assumptions!$C$11)</f>
        <v>0.125</v>
      </c>
      <c r="O104" s="38" t="str">
        <f aca="false">IF(M104="STCG",MAX(L104,0)*Assumptions!$C$11,"agg. below")</f>
        <v>agg. below</v>
      </c>
    </row>
    <row r="105" customFormat="false" ht="15" hidden="false" customHeight="false" outlineLevel="1" collapsed="false">
      <c r="A105" s="33" t="str">
        <f aca="false">TEXT(SIP_Fund1_PPFAS!B103,"mmm-yyyy")</f>
        <v>Mar-2033</v>
      </c>
      <c r="B105" s="34" t="n">
        <f aca="false">SIP_Fund1_PPFAS!B103</f>
        <v>48639</v>
      </c>
      <c r="C105" s="35" t="n">
        <f aca="false">SIP_Fund1_PPFAS!C103</f>
        <v>11000</v>
      </c>
      <c r="D105" s="36" t="n">
        <f aca="false">SIP_Fund1_PPFAS!D103</f>
        <v>189.247836156399</v>
      </c>
      <c r="E105" s="37" t="n">
        <f aca="false">SIP_Fund1_PPFAS!E103</f>
        <v>58.1248389593704</v>
      </c>
      <c r="F105" s="33" t="n">
        <f aca="false">Assumptions!$C$5-B105</f>
        <v>1050</v>
      </c>
      <c r="G105" s="36" t="n">
        <f aca="false">Assumptions!$D$19*(1+Assumptions!$F$19)^((Assumptions!$C$5-Assumptions!$C$4)/365)</f>
        <v>262.190538254849</v>
      </c>
      <c r="H105" s="35" t="n">
        <f aca="false">E105*G105</f>
        <v>15239.7828127338</v>
      </c>
      <c r="I105" s="47" t="n">
        <f aca="false">IF(F105&lt;365,Assumptions!$G$19,IF(F105&lt;=730,Assumptions!$H$19,Assumptions!$I$19))</f>
        <v>0</v>
      </c>
      <c r="J105" s="35" t="n">
        <f aca="false">H105*I105</f>
        <v>0</v>
      </c>
      <c r="K105" s="35" t="n">
        <f aca="false">H105-J105</f>
        <v>15239.7828127338</v>
      </c>
      <c r="L105" s="35" t="n">
        <f aca="false">K105-C105</f>
        <v>4239.78281273376</v>
      </c>
      <c r="M105" s="33" t="str">
        <f aca="false">IF(F105&gt;365,"LTCG","STCG")</f>
        <v>LTCG</v>
      </c>
      <c r="N105" s="47" t="n">
        <f aca="false">IF(M105="LTCG",Assumptions!$C$12,Assumptions!$C$11)</f>
        <v>0.125</v>
      </c>
      <c r="O105" s="33" t="str">
        <f aca="false">IF(M105="STCG",MAX(L105,0)*Assumptions!$C$11,"agg. below")</f>
        <v>agg. below</v>
      </c>
    </row>
    <row r="106" customFormat="false" ht="15" hidden="false" customHeight="false" outlineLevel="1" collapsed="false">
      <c r="A106" s="38" t="str">
        <f aca="false">TEXT(SIP_Fund1_PPFAS!B104,"mmm-yyyy")</f>
        <v>Apr-2033</v>
      </c>
      <c r="B106" s="39" t="n">
        <f aca="false">SIP_Fund1_PPFAS!B104</f>
        <v>48670</v>
      </c>
      <c r="C106" s="40" t="n">
        <f aca="false">SIP_Fund1_PPFAS!C104</f>
        <v>11000</v>
      </c>
      <c r="D106" s="41" t="n">
        <f aca="false">SIP_Fund1_PPFAS!D104</f>
        <v>191.078174422551</v>
      </c>
      <c r="E106" s="42" t="n">
        <f aca="false">SIP_Fund1_PPFAS!E104</f>
        <v>57.5680609951537</v>
      </c>
      <c r="F106" s="38" t="n">
        <f aca="false">Assumptions!$C$5-B106</f>
        <v>1019</v>
      </c>
      <c r="G106" s="41" t="n">
        <f aca="false">Assumptions!$D$19*(1+Assumptions!$F$19)^((Assumptions!$C$5-Assumptions!$C$4)/365)</f>
        <v>262.190538254849</v>
      </c>
      <c r="H106" s="40" t="n">
        <f aca="false">E106*G106</f>
        <v>15093.8008986073</v>
      </c>
      <c r="I106" s="48" t="n">
        <f aca="false">IF(F106&lt;365,Assumptions!$G$19,IF(F106&lt;=730,Assumptions!$H$19,Assumptions!$I$19))</f>
        <v>0</v>
      </c>
      <c r="J106" s="40" t="n">
        <f aca="false">H106*I106</f>
        <v>0</v>
      </c>
      <c r="K106" s="40" t="n">
        <f aca="false">H106-J106</f>
        <v>15093.8008986073</v>
      </c>
      <c r="L106" s="40" t="n">
        <f aca="false">K106-C106</f>
        <v>4093.80089860732</v>
      </c>
      <c r="M106" s="38" t="str">
        <f aca="false">IF(F106&gt;365,"LTCG","STCG")</f>
        <v>LTCG</v>
      </c>
      <c r="N106" s="48" t="n">
        <f aca="false">IF(M106="LTCG",Assumptions!$C$12,Assumptions!$C$11)</f>
        <v>0.125</v>
      </c>
      <c r="O106" s="38" t="str">
        <f aca="false">IF(M106="STCG",MAX(L106,0)*Assumptions!$C$11,"agg. below")</f>
        <v>agg. below</v>
      </c>
    </row>
    <row r="107" customFormat="false" ht="15" hidden="false" customHeight="false" outlineLevel="1" collapsed="false">
      <c r="A107" s="33" t="str">
        <f aca="false">TEXT(SIP_Fund1_PPFAS!B105,"mmm-yyyy")</f>
        <v>May-2033</v>
      </c>
      <c r="B107" s="34" t="n">
        <f aca="false">SIP_Fund1_PPFAS!B105</f>
        <v>48700</v>
      </c>
      <c r="C107" s="35" t="n">
        <f aca="false">SIP_Fund1_PPFAS!C105</f>
        <v>11000</v>
      </c>
      <c r="D107" s="36" t="n">
        <f aca="false">SIP_Fund1_PPFAS!D105</f>
        <v>192.866322799273</v>
      </c>
      <c r="E107" s="37" t="n">
        <f aca="false">SIP_Fund1_PPFAS!E105</f>
        <v>57.0343222204134</v>
      </c>
      <c r="F107" s="33" t="n">
        <f aca="false">Assumptions!$C$5-B107</f>
        <v>989</v>
      </c>
      <c r="G107" s="36" t="n">
        <f aca="false">Assumptions!$D$19*(1+Assumptions!$F$19)^((Assumptions!$C$5-Assumptions!$C$4)/365)</f>
        <v>262.190538254849</v>
      </c>
      <c r="H107" s="35" t="n">
        <f aca="false">E107*G107</f>
        <v>14953.8596419707</v>
      </c>
      <c r="I107" s="47" t="n">
        <f aca="false">IF(F107&lt;365,Assumptions!$G$19,IF(F107&lt;=730,Assumptions!$H$19,Assumptions!$I$19))</f>
        <v>0</v>
      </c>
      <c r="J107" s="35" t="n">
        <f aca="false">H107*I107</f>
        <v>0</v>
      </c>
      <c r="K107" s="35" t="n">
        <f aca="false">H107-J107</f>
        <v>14953.8596419707</v>
      </c>
      <c r="L107" s="35" t="n">
        <f aca="false">K107-C107</f>
        <v>3953.85964197068</v>
      </c>
      <c r="M107" s="33" t="str">
        <f aca="false">IF(F107&gt;365,"LTCG","STCG")</f>
        <v>LTCG</v>
      </c>
      <c r="N107" s="47" t="n">
        <f aca="false">IF(M107="LTCG",Assumptions!$C$12,Assumptions!$C$11)</f>
        <v>0.125</v>
      </c>
      <c r="O107" s="33" t="str">
        <f aca="false">IF(M107="STCG",MAX(L107,0)*Assumptions!$C$11,"agg. below")</f>
        <v>agg. below</v>
      </c>
    </row>
    <row r="108" customFormat="false" ht="15" hidden="false" customHeight="false" outlineLevel="1" collapsed="false">
      <c r="A108" s="38" t="str">
        <f aca="false">TEXT(SIP_Fund1_PPFAS!B106,"mmm-yyyy")</f>
        <v>Jun-2033</v>
      </c>
      <c r="B108" s="39" t="n">
        <f aca="false">SIP_Fund1_PPFAS!B106</f>
        <v>48731</v>
      </c>
      <c r="C108" s="40" t="n">
        <f aca="false">SIP_Fund1_PPFAS!C106</f>
        <v>11000</v>
      </c>
      <c r="D108" s="41" t="n">
        <f aca="false">SIP_Fund1_PPFAS!D106</f>
        <v>194.731657790896</v>
      </c>
      <c r="E108" s="42" t="n">
        <f aca="false">SIP_Fund1_PPFAS!E106</f>
        <v>56.4879903185123</v>
      </c>
      <c r="F108" s="38" t="n">
        <f aca="false">Assumptions!$C$5-B108</f>
        <v>958</v>
      </c>
      <c r="G108" s="41" t="n">
        <f aca="false">Assumptions!$D$19*(1+Assumptions!$F$19)^((Assumptions!$C$5-Assumptions!$C$4)/365)</f>
        <v>262.190538254849</v>
      </c>
      <c r="H108" s="40" t="n">
        <f aca="false">E108*G108</f>
        <v>14810.6165865455</v>
      </c>
      <c r="I108" s="48" t="n">
        <f aca="false">IF(F108&lt;365,Assumptions!$G$19,IF(F108&lt;=730,Assumptions!$H$19,Assumptions!$I$19))</f>
        <v>0</v>
      </c>
      <c r="J108" s="40" t="n">
        <f aca="false">H108*I108</f>
        <v>0</v>
      </c>
      <c r="K108" s="40" t="n">
        <f aca="false">H108-J108</f>
        <v>14810.6165865455</v>
      </c>
      <c r="L108" s="40" t="n">
        <f aca="false">K108-C108</f>
        <v>3810.61658654545</v>
      </c>
      <c r="M108" s="38" t="str">
        <f aca="false">IF(F108&gt;365,"LTCG","STCG")</f>
        <v>LTCG</v>
      </c>
      <c r="N108" s="48" t="n">
        <f aca="false">IF(M108="LTCG",Assumptions!$C$12,Assumptions!$C$11)</f>
        <v>0.125</v>
      </c>
      <c r="O108" s="38" t="str">
        <f aca="false">IF(M108="STCG",MAX(L108,0)*Assumptions!$C$11,"agg. below")</f>
        <v>agg. below</v>
      </c>
    </row>
    <row r="109" customFormat="false" ht="15" hidden="false" customHeight="false" outlineLevel="1" collapsed="false">
      <c r="A109" s="33" t="str">
        <f aca="false">TEXT(SIP_Fund1_PPFAS!B107,"mmm-yyyy")</f>
        <v>Jul-2033</v>
      </c>
      <c r="B109" s="34" t="n">
        <f aca="false">SIP_Fund1_PPFAS!B107</f>
        <v>48761</v>
      </c>
      <c r="C109" s="35" t="n">
        <f aca="false">SIP_Fund1_PPFAS!C107</f>
        <v>11000</v>
      </c>
      <c r="D109" s="36" t="n">
        <f aca="false">SIP_Fund1_PPFAS!D107</f>
        <v>196.553996207241</v>
      </c>
      <c r="E109" s="37" t="n">
        <f aca="false">SIP_Fund1_PPFAS!E107</f>
        <v>55.9642653533327</v>
      </c>
      <c r="F109" s="33" t="n">
        <f aca="false">Assumptions!$C$5-B109</f>
        <v>928</v>
      </c>
      <c r="G109" s="36" t="n">
        <f aca="false">Assumptions!$D$19*(1+Assumptions!$F$19)^((Assumptions!$C$5-Assumptions!$C$4)/365)</f>
        <v>262.190538254849</v>
      </c>
      <c r="H109" s="35" t="n">
        <f aca="false">E109*G109</f>
        <v>14673.3008560275</v>
      </c>
      <c r="I109" s="47" t="n">
        <f aca="false">IF(F109&lt;365,Assumptions!$G$19,IF(F109&lt;=730,Assumptions!$H$19,Assumptions!$I$19))</f>
        <v>0</v>
      </c>
      <c r="J109" s="35" t="n">
        <f aca="false">H109*I109</f>
        <v>0</v>
      </c>
      <c r="K109" s="35" t="n">
        <f aca="false">H109-J109</f>
        <v>14673.3008560275</v>
      </c>
      <c r="L109" s="35" t="n">
        <f aca="false">K109-C109</f>
        <v>3673.30085602751</v>
      </c>
      <c r="M109" s="33" t="str">
        <f aca="false">IF(F109&gt;365,"LTCG","STCG")</f>
        <v>LTCG</v>
      </c>
      <c r="N109" s="47" t="n">
        <f aca="false">IF(M109="LTCG",Assumptions!$C$12,Assumptions!$C$11)</f>
        <v>0.125</v>
      </c>
      <c r="O109" s="33" t="str">
        <f aca="false">IF(M109="STCG",MAX(L109,0)*Assumptions!$C$11,"agg. below")</f>
        <v>agg. below</v>
      </c>
    </row>
    <row r="110" customFormat="false" ht="15" hidden="false" customHeight="false" outlineLevel="1" collapsed="false">
      <c r="A110" s="38" t="str">
        <f aca="false">TEXT(SIP_Fund1_PPFAS!B108,"mmm-yyyy")</f>
        <v>Aug-2033</v>
      </c>
      <c r="B110" s="39" t="n">
        <f aca="false">SIP_Fund1_PPFAS!B108</f>
        <v>48792</v>
      </c>
      <c r="C110" s="40" t="n">
        <f aca="false">SIP_Fund1_PPFAS!C108</f>
        <v>11000</v>
      </c>
      <c r="D110" s="41" t="n">
        <f aca="false">SIP_Fund1_PPFAS!D108</f>
        <v>198.454997074305</v>
      </c>
      <c r="E110" s="42" t="n">
        <f aca="false">SIP_Fund1_PPFAS!E108</f>
        <v>55.4281835285883</v>
      </c>
      <c r="F110" s="38" t="n">
        <f aca="false">Assumptions!$C$5-B110</f>
        <v>897</v>
      </c>
      <c r="G110" s="41" t="n">
        <f aca="false">Assumptions!$D$19*(1+Assumptions!$F$19)^((Assumptions!$C$5-Assumptions!$C$4)/365)</f>
        <v>262.190538254849</v>
      </c>
      <c r="H110" s="40" t="n">
        <f aca="false">E110*G110</f>
        <v>14532.7452738491</v>
      </c>
      <c r="I110" s="48" t="n">
        <f aca="false">IF(F110&lt;365,Assumptions!$G$19,IF(F110&lt;=730,Assumptions!$H$19,Assumptions!$I$19))</f>
        <v>0</v>
      </c>
      <c r="J110" s="40" t="n">
        <f aca="false">H110*I110</f>
        <v>0</v>
      </c>
      <c r="K110" s="40" t="n">
        <f aca="false">H110-J110</f>
        <v>14532.7452738491</v>
      </c>
      <c r="L110" s="40" t="n">
        <f aca="false">K110-C110</f>
        <v>3532.74527384912</v>
      </c>
      <c r="M110" s="38" t="str">
        <f aca="false">IF(F110&gt;365,"LTCG","STCG")</f>
        <v>LTCG</v>
      </c>
      <c r="N110" s="48" t="n">
        <f aca="false">IF(M110="LTCG",Assumptions!$C$12,Assumptions!$C$11)</f>
        <v>0.125</v>
      </c>
      <c r="O110" s="38" t="str">
        <f aca="false">IF(M110="STCG",MAX(L110,0)*Assumptions!$C$11,"agg. below")</f>
        <v>agg. below</v>
      </c>
    </row>
    <row r="111" customFormat="false" ht="15" hidden="false" customHeight="false" outlineLevel="1" collapsed="false">
      <c r="A111" s="33" t="str">
        <f aca="false">TEXT(SIP_Fund1_PPFAS!B109,"mmm-yyyy")</f>
        <v>Sep-2033</v>
      </c>
      <c r="B111" s="34" t="n">
        <f aca="false">SIP_Fund1_PPFAS!B109</f>
        <v>48823</v>
      </c>
      <c r="C111" s="35" t="n">
        <f aca="false">SIP_Fund1_PPFAS!C109</f>
        <v>11000</v>
      </c>
      <c r="D111" s="36" t="n">
        <f aca="false">SIP_Fund1_PPFAS!D109</f>
        <v>200.374383750694</v>
      </c>
      <c r="E111" s="37" t="n">
        <f aca="false">SIP_Fund1_PPFAS!E109</f>
        <v>54.8972368328589</v>
      </c>
      <c r="F111" s="33" t="n">
        <f aca="false">Assumptions!$C$5-B111</f>
        <v>866</v>
      </c>
      <c r="G111" s="36" t="n">
        <f aca="false">Assumptions!$D$19*(1+Assumptions!$F$19)^((Assumptions!$C$5-Assumptions!$C$4)/365)</f>
        <v>262.190538254849</v>
      </c>
      <c r="H111" s="35" t="n">
        <f aca="false">E111*G111</f>
        <v>14393.5360739112</v>
      </c>
      <c r="I111" s="47" t="n">
        <f aca="false">IF(F111&lt;365,Assumptions!$G$19,IF(F111&lt;=730,Assumptions!$H$19,Assumptions!$I$19))</f>
        <v>0</v>
      </c>
      <c r="J111" s="35" t="n">
        <f aca="false">H111*I111</f>
        <v>0</v>
      </c>
      <c r="K111" s="35" t="n">
        <f aca="false">H111-J111</f>
        <v>14393.5360739112</v>
      </c>
      <c r="L111" s="35" t="n">
        <f aca="false">K111-C111</f>
        <v>3393.5360739112</v>
      </c>
      <c r="M111" s="33" t="str">
        <f aca="false">IF(F111&gt;365,"LTCG","STCG")</f>
        <v>LTCG</v>
      </c>
      <c r="N111" s="47" t="n">
        <f aca="false">IF(M111="LTCG",Assumptions!$C$12,Assumptions!$C$11)</f>
        <v>0.125</v>
      </c>
      <c r="O111" s="33" t="str">
        <f aca="false">IF(M111="STCG",MAX(L111,0)*Assumptions!$C$11,"agg. below")</f>
        <v>agg. below</v>
      </c>
    </row>
    <row r="112" customFormat="false" ht="15" hidden="false" customHeight="false" outlineLevel="1" collapsed="false">
      <c r="A112" s="38" t="str">
        <f aca="false">TEXT(SIP_Fund1_PPFAS!B110,"mmm-yyyy")</f>
        <v>Oct-2033</v>
      </c>
      <c r="B112" s="39" t="n">
        <f aca="false">SIP_Fund1_PPFAS!B110</f>
        <v>48853</v>
      </c>
      <c r="C112" s="40" t="n">
        <f aca="false">SIP_Fund1_PPFAS!C110</f>
        <v>11000</v>
      </c>
      <c r="D112" s="41" t="n">
        <f aca="false">SIP_Fund1_PPFAS!D110</f>
        <v>202.249527942978</v>
      </c>
      <c r="E112" s="42" t="n">
        <f aca="false">SIP_Fund1_PPFAS!E110</f>
        <v>54.3882604418308</v>
      </c>
      <c r="F112" s="38" t="n">
        <f aca="false">Assumptions!$C$5-B112</f>
        <v>836</v>
      </c>
      <c r="G112" s="41" t="n">
        <f aca="false">Assumptions!$D$19*(1+Assumptions!$F$19)^((Assumptions!$C$5-Assumptions!$C$4)/365)</f>
        <v>262.190538254849</v>
      </c>
      <c r="H112" s="40" t="n">
        <f aca="false">E112*G112</f>
        <v>14260.0872799885</v>
      </c>
      <c r="I112" s="48" t="n">
        <f aca="false">IF(F112&lt;365,Assumptions!$G$19,IF(F112&lt;=730,Assumptions!$H$19,Assumptions!$I$19))</f>
        <v>0</v>
      </c>
      <c r="J112" s="40" t="n">
        <f aca="false">H112*I112</f>
        <v>0</v>
      </c>
      <c r="K112" s="40" t="n">
        <f aca="false">H112-J112</f>
        <v>14260.0872799885</v>
      </c>
      <c r="L112" s="40" t="n">
        <f aca="false">K112-C112</f>
        <v>3260.08727998854</v>
      </c>
      <c r="M112" s="38" t="str">
        <f aca="false">IF(F112&gt;365,"LTCG","STCG")</f>
        <v>LTCG</v>
      </c>
      <c r="N112" s="48" t="n">
        <f aca="false">IF(M112="LTCG",Assumptions!$C$12,Assumptions!$C$11)</f>
        <v>0.125</v>
      </c>
      <c r="O112" s="38" t="str">
        <f aca="false">IF(M112="STCG",MAX(L112,0)*Assumptions!$C$11,"agg. below")</f>
        <v>agg. below</v>
      </c>
    </row>
    <row r="113" customFormat="false" ht="15" hidden="false" customHeight="false" outlineLevel="1" collapsed="false">
      <c r="A113" s="33" t="str">
        <f aca="false">TEXT(SIP_Fund1_PPFAS!B111,"mmm-yyyy")</f>
        <v>Nov-2033</v>
      </c>
      <c r="B113" s="34" t="n">
        <f aca="false">SIP_Fund1_PPFAS!B111</f>
        <v>48884</v>
      </c>
      <c r="C113" s="35" t="n">
        <f aca="false">SIP_Fund1_PPFAS!C111</f>
        <v>11000</v>
      </c>
      <c r="D113" s="36" t="n">
        <f aca="false">SIP_Fund1_PPFAS!D111</f>
        <v>204.205613982446</v>
      </c>
      <c r="E113" s="37" t="n">
        <f aca="false">SIP_Fund1_PPFAS!E111</f>
        <v>53.867275171708</v>
      </c>
      <c r="F113" s="33" t="n">
        <f aca="false">Assumptions!$C$5-B113</f>
        <v>805</v>
      </c>
      <c r="G113" s="36" t="n">
        <f aca="false">Assumptions!$D$19*(1+Assumptions!$F$19)^((Assumptions!$C$5-Assumptions!$C$4)/365)</f>
        <v>262.190538254849</v>
      </c>
      <c r="H113" s="35" t="n">
        <f aca="false">E113*G113</f>
        <v>14123.4898715922</v>
      </c>
      <c r="I113" s="47" t="n">
        <f aca="false">IF(F113&lt;365,Assumptions!$G$19,IF(F113&lt;=730,Assumptions!$H$19,Assumptions!$I$19))</f>
        <v>0</v>
      </c>
      <c r="J113" s="35" t="n">
        <f aca="false">H113*I113</f>
        <v>0</v>
      </c>
      <c r="K113" s="35" t="n">
        <f aca="false">H113-J113</f>
        <v>14123.4898715922</v>
      </c>
      <c r="L113" s="35" t="n">
        <f aca="false">K113-C113</f>
        <v>3123.48987159218</v>
      </c>
      <c r="M113" s="33" t="str">
        <f aca="false">IF(F113&gt;365,"LTCG","STCG")</f>
        <v>LTCG</v>
      </c>
      <c r="N113" s="47" t="n">
        <f aca="false">IF(M113="LTCG",Assumptions!$C$12,Assumptions!$C$11)</f>
        <v>0.125</v>
      </c>
      <c r="O113" s="33" t="str">
        <f aca="false">IF(M113="STCG",MAX(L113,0)*Assumptions!$C$11,"agg. below")</f>
        <v>agg. below</v>
      </c>
    </row>
    <row r="114" customFormat="false" ht="15" hidden="false" customHeight="false" outlineLevel="1" collapsed="false">
      <c r="A114" s="38" t="str">
        <f aca="false">TEXT(SIP_Fund1_PPFAS!B112,"mmm-yyyy")</f>
        <v>Dec-2033</v>
      </c>
      <c r="B114" s="39" t="n">
        <f aca="false">SIP_Fund1_PPFAS!B112</f>
        <v>48914</v>
      </c>
      <c r="C114" s="40" t="n">
        <f aca="false">SIP_Fund1_PPFAS!C112</f>
        <v>11000</v>
      </c>
      <c r="D114" s="41" t="n">
        <f aca="false">SIP_Fund1_PPFAS!D112</f>
        <v>206.116611605612</v>
      </c>
      <c r="E114" s="42" t="n">
        <f aca="false">SIP_Fund1_PPFAS!E112</f>
        <v>53.3678480075524</v>
      </c>
      <c r="F114" s="38" t="n">
        <f aca="false">Assumptions!$C$5-B114</f>
        <v>775</v>
      </c>
      <c r="G114" s="41" t="n">
        <f aca="false">Assumptions!$D$19*(1+Assumptions!$F$19)^((Assumptions!$C$5-Assumptions!$C$4)/365)</f>
        <v>262.190538254849</v>
      </c>
      <c r="H114" s="40" t="n">
        <f aca="false">E114*G114</f>
        <v>13992.5447946031</v>
      </c>
      <c r="I114" s="48" t="n">
        <f aca="false">IF(F114&lt;365,Assumptions!$G$19,IF(F114&lt;=730,Assumptions!$H$19,Assumptions!$I$19))</f>
        <v>0</v>
      </c>
      <c r="J114" s="40" t="n">
        <f aca="false">H114*I114</f>
        <v>0</v>
      </c>
      <c r="K114" s="40" t="n">
        <f aca="false">H114-J114</f>
        <v>13992.5447946031</v>
      </c>
      <c r="L114" s="40" t="n">
        <f aca="false">K114-C114</f>
        <v>2992.54479460313</v>
      </c>
      <c r="M114" s="38" t="str">
        <f aca="false">IF(F114&gt;365,"LTCG","STCG")</f>
        <v>LTCG</v>
      </c>
      <c r="N114" s="48" t="n">
        <f aca="false">IF(M114="LTCG",Assumptions!$C$12,Assumptions!$C$11)</f>
        <v>0.125</v>
      </c>
      <c r="O114" s="38" t="str">
        <f aca="false">IF(M114="STCG",MAX(L114,0)*Assumptions!$C$11,"agg. below")</f>
        <v>agg. below</v>
      </c>
    </row>
    <row r="115" customFormat="false" ht="15" hidden="false" customHeight="false" outlineLevel="1" collapsed="false">
      <c r="A115" s="33" t="str">
        <f aca="false">TEXT(SIP_Fund1_PPFAS!B113,"mmm-yyyy")</f>
        <v>Jan-2034</v>
      </c>
      <c r="B115" s="34" t="n">
        <f aca="false">SIP_Fund1_PPFAS!B113</f>
        <v>48945</v>
      </c>
      <c r="C115" s="35" t="n">
        <f aca="false">SIP_Fund1_PPFAS!C113</f>
        <v>12000</v>
      </c>
      <c r="D115" s="36" t="n">
        <f aca="false">SIP_Fund1_PPFAS!D113</f>
        <v>208.110098713171</v>
      </c>
      <c r="E115" s="37" t="n">
        <f aca="false">SIP_Fund1_PPFAS!E113</f>
        <v>57.6617861132201</v>
      </c>
      <c r="F115" s="33" t="n">
        <f aca="false">Assumptions!$C$5-B115</f>
        <v>744</v>
      </c>
      <c r="G115" s="36" t="n">
        <f aca="false">Assumptions!$D$19*(1+Assumptions!$F$19)^((Assumptions!$C$5-Assumptions!$C$4)/365)</f>
        <v>262.190538254849</v>
      </c>
      <c r="H115" s="35" t="n">
        <f aca="false">E115*G115</f>
        <v>15118.3747377612</v>
      </c>
      <c r="I115" s="47" t="n">
        <f aca="false">IF(F115&lt;365,Assumptions!$G$19,IF(F115&lt;=730,Assumptions!$H$19,Assumptions!$I$19))</f>
        <v>0</v>
      </c>
      <c r="J115" s="35" t="n">
        <f aca="false">H115*I115</f>
        <v>0</v>
      </c>
      <c r="K115" s="35" t="n">
        <f aca="false">H115-J115</f>
        <v>15118.3747377612</v>
      </c>
      <c r="L115" s="35" t="n">
        <f aca="false">K115-C115</f>
        <v>3118.37473776116</v>
      </c>
      <c r="M115" s="33" t="str">
        <f aca="false">IF(F115&gt;365,"LTCG","STCG")</f>
        <v>LTCG</v>
      </c>
      <c r="N115" s="47" t="n">
        <f aca="false">IF(M115="LTCG",Assumptions!$C$12,Assumptions!$C$11)</f>
        <v>0.125</v>
      </c>
      <c r="O115" s="33" t="str">
        <f aca="false">IF(M115="STCG",MAX(L115,0)*Assumptions!$C$11,"agg. below")</f>
        <v>agg. below</v>
      </c>
    </row>
    <row r="116" customFormat="false" ht="15" hidden="false" customHeight="false" outlineLevel="1" collapsed="false">
      <c r="A116" s="38" t="str">
        <f aca="false">TEXT(SIP_Fund1_PPFAS!B114,"mmm-yyyy")</f>
        <v>Feb-2034</v>
      </c>
      <c r="B116" s="39" t="n">
        <f aca="false">SIP_Fund1_PPFAS!B114</f>
        <v>48976</v>
      </c>
      <c r="C116" s="40" t="n">
        <f aca="false">SIP_Fund1_PPFAS!C114</f>
        <v>12000</v>
      </c>
      <c r="D116" s="41" t="n">
        <f aca="false">SIP_Fund1_PPFAS!D114</f>
        <v>210.122866124327</v>
      </c>
      <c r="E116" s="42" t="n">
        <f aca="false">SIP_Fund1_PPFAS!E114</f>
        <v>57.1094437332668</v>
      </c>
      <c r="F116" s="38" t="n">
        <f aca="false">Assumptions!$C$5-B116</f>
        <v>713</v>
      </c>
      <c r="G116" s="41" t="n">
        <f aca="false">Assumptions!$D$19*(1+Assumptions!$F$19)^((Assumptions!$C$5-Assumptions!$C$4)/365)</f>
        <v>262.190538254849</v>
      </c>
      <c r="H116" s="40" t="n">
        <f aca="false">E116*G116</f>
        <v>14973.5557918602</v>
      </c>
      <c r="I116" s="48" t="n">
        <f aca="false">IF(F116&lt;365,Assumptions!$G$19,IF(F116&lt;=730,Assumptions!$H$19,Assumptions!$I$19))</f>
        <v>0.01</v>
      </c>
      <c r="J116" s="40" t="n">
        <f aca="false">H116*I116</f>
        <v>149.735557918602</v>
      </c>
      <c r="K116" s="40" t="n">
        <f aca="false">H116-J116</f>
        <v>14823.8202339416</v>
      </c>
      <c r="L116" s="40" t="n">
        <f aca="false">K116-C116</f>
        <v>2823.82023394163</v>
      </c>
      <c r="M116" s="38" t="str">
        <f aca="false">IF(F116&gt;365,"LTCG","STCG")</f>
        <v>LTCG</v>
      </c>
      <c r="N116" s="48" t="n">
        <f aca="false">IF(M116="LTCG",Assumptions!$C$12,Assumptions!$C$11)</f>
        <v>0.125</v>
      </c>
      <c r="O116" s="38" t="str">
        <f aca="false">IF(M116="STCG",MAX(L116,0)*Assumptions!$C$11,"agg. below")</f>
        <v>agg. below</v>
      </c>
    </row>
    <row r="117" customFormat="false" ht="15" hidden="false" customHeight="false" outlineLevel="1" collapsed="false">
      <c r="A117" s="33" t="str">
        <f aca="false">TEXT(SIP_Fund1_PPFAS!B115,"mmm-yyyy")</f>
        <v>Mar-2034</v>
      </c>
      <c r="B117" s="34" t="n">
        <f aca="false">SIP_Fund1_PPFAS!B115</f>
        <v>49004</v>
      </c>
      <c r="C117" s="35" t="n">
        <f aca="false">SIP_Fund1_PPFAS!C115</f>
        <v>12000</v>
      </c>
      <c r="D117" s="36" t="n">
        <f aca="false">SIP_Fund1_PPFAS!D115</f>
        <v>211.957576495167</v>
      </c>
      <c r="E117" s="37" t="n">
        <f aca="false">SIP_Fund1_PPFAS!E115</f>
        <v>56.6151028825037</v>
      </c>
      <c r="F117" s="33" t="n">
        <f aca="false">Assumptions!$C$5-B117</f>
        <v>685</v>
      </c>
      <c r="G117" s="36" t="n">
        <f aca="false">Assumptions!$D$19*(1+Assumptions!$F$19)^((Assumptions!$C$5-Assumptions!$C$4)/365)</f>
        <v>262.190538254849</v>
      </c>
      <c r="H117" s="35" t="n">
        <f aca="false">E117*G117</f>
        <v>14843.9442981173</v>
      </c>
      <c r="I117" s="47" t="n">
        <f aca="false">IF(F117&lt;365,Assumptions!$G$19,IF(F117&lt;=730,Assumptions!$H$19,Assumptions!$I$19))</f>
        <v>0.01</v>
      </c>
      <c r="J117" s="35" t="n">
        <f aca="false">H117*I117</f>
        <v>148.439442981173</v>
      </c>
      <c r="K117" s="35" t="n">
        <f aca="false">H117-J117</f>
        <v>14695.5048551361</v>
      </c>
      <c r="L117" s="35" t="n">
        <f aca="false">K117-C117</f>
        <v>2695.50485513612</v>
      </c>
      <c r="M117" s="33" t="str">
        <f aca="false">IF(F117&gt;365,"LTCG","STCG")</f>
        <v>LTCG</v>
      </c>
      <c r="N117" s="47" t="n">
        <f aca="false">IF(M117="LTCG",Assumptions!$C$12,Assumptions!$C$11)</f>
        <v>0.125</v>
      </c>
      <c r="O117" s="33" t="str">
        <f aca="false">IF(M117="STCG",MAX(L117,0)*Assumptions!$C$11,"agg. below")</f>
        <v>agg. below</v>
      </c>
    </row>
    <row r="118" customFormat="false" ht="15" hidden="false" customHeight="false" outlineLevel="1" collapsed="false">
      <c r="A118" s="38" t="str">
        <f aca="false">TEXT(SIP_Fund1_PPFAS!B116,"mmm-yyyy")</f>
        <v>Apr-2034</v>
      </c>
      <c r="B118" s="39" t="n">
        <f aca="false">SIP_Fund1_PPFAS!B116</f>
        <v>49035</v>
      </c>
      <c r="C118" s="40" t="n">
        <f aca="false">SIP_Fund1_PPFAS!C116</f>
        <v>12000</v>
      </c>
      <c r="D118" s="41" t="n">
        <f aca="false">SIP_Fund1_PPFAS!D116</f>
        <v>214.007555353257</v>
      </c>
      <c r="E118" s="42" t="n">
        <f aca="false">SIP_Fund1_PPFAS!E116</f>
        <v>56.0727866835912</v>
      </c>
      <c r="F118" s="38" t="n">
        <f aca="false">Assumptions!$C$5-B118</f>
        <v>654</v>
      </c>
      <c r="G118" s="41" t="n">
        <f aca="false">Assumptions!$D$19*(1+Assumptions!$F$19)^((Assumptions!$C$5-Assumptions!$C$4)/365)</f>
        <v>262.190538254849</v>
      </c>
      <c r="H118" s="40" t="n">
        <f aca="false">E118*G118</f>
        <v>14701.7541220201</v>
      </c>
      <c r="I118" s="48" t="n">
        <f aca="false">IF(F118&lt;365,Assumptions!$G$19,IF(F118&lt;=730,Assumptions!$H$19,Assumptions!$I$19))</f>
        <v>0.01</v>
      </c>
      <c r="J118" s="40" t="n">
        <f aca="false">H118*I118</f>
        <v>147.017541220201</v>
      </c>
      <c r="K118" s="40" t="n">
        <f aca="false">H118-J118</f>
        <v>14554.7365807999</v>
      </c>
      <c r="L118" s="40" t="n">
        <f aca="false">K118-C118</f>
        <v>2554.73658079992</v>
      </c>
      <c r="M118" s="38" t="str">
        <f aca="false">IF(F118&gt;365,"LTCG","STCG")</f>
        <v>LTCG</v>
      </c>
      <c r="N118" s="48" t="n">
        <f aca="false">IF(M118="LTCG",Assumptions!$C$12,Assumptions!$C$11)</f>
        <v>0.125</v>
      </c>
      <c r="O118" s="38" t="str">
        <f aca="false">IF(M118="STCG",MAX(L118,0)*Assumptions!$C$11,"agg. below")</f>
        <v>agg. below</v>
      </c>
    </row>
    <row r="119" customFormat="false" ht="15" hidden="false" customHeight="false" outlineLevel="1" collapsed="false">
      <c r="A119" s="33" t="str">
        <f aca="false">TEXT(SIP_Fund1_PPFAS!B117,"mmm-yyyy")</f>
        <v>May-2034</v>
      </c>
      <c r="B119" s="34" t="n">
        <f aca="false">SIP_Fund1_PPFAS!B117</f>
        <v>49065</v>
      </c>
      <c r="C119" s="35" t="n">
        <f aca="false">SIP_Fund1_PPFAS!C117</f>
        <v>12000</v>
      </c>
      <c r="D119" s="36" t="n">
        <f aca="false">SIP_Fund1_PPFAS!D117</f>
        <v>216.010281535186</v>
      </c>
      <c r="E119" s="37" t="n">
        <f aca="false">SIP_Fund1_PPFAS!E117</f>
        <v>55.5529112536494</v>
      </c>
      <c r="F119" s="33" t="n">
        <f aca="false">Assumptions!$C$5-B119</f>
        <v>624</v>
      </c>
      <c r="G119" s="36" t="n">
        <f aca="false">Assumptions!$D$19*(1+Assumptions!$F$19)^((Assumptions!$C$5-Assumptions!$C$4)/365)</f>
        <v>262.190538254849</v>
      </c>
      <c r="H119" s="35" t="n">
        <f aca="false">E119*G119</f>
        <v>14565.4477032182</v>
      </c>
      <c r="I119" s="47" t="n">
        <f aca="false">IF(F119&lt;365,Assumptions!$G$19,IF(F119&lt;=730,Assumptions!$H$19,Assumptions!$I$19))</f>
        <v>0.01</v>
      </c>
      <c r="J119" s="35" t="n">
        <f aca="false">H119*I119</f>
        <v>145.654477032182</v>
      </c>
      <c r="K119" s="35" t="n">
        <f aca="false">H119-J119</f>
        <v>14419.793226186</v>
      </c>
      <c r="L119" s="35" t="n">
        <f aca="false">K119-C119</f>
        <v>2419.79322618601</v>
      </c>
      <c r="M119" s="33" t="str">
        <f aca="false">IF(F119&gt;365,"LTCG","STCG")</f>
        <v>LTCG</v>
      </c>
      <c r="N119" s="47" t="n">
        <f aca="false">IF(M119="LTCG",Assumptions!$C$12,Assumptions!$C$11)</f>
        <v>0.125</v>
      </c>
      <c r="O119" s="33" t="str">
        <f aca="false">IF(M119="STCG",MAX(L119,0)*Assumptions!$C$11,"agg. below")</f>
        <v>agg. below</v>
      </c>
    </row>
    <row r="120" customFormat="false" ht="15" hidden="false" customHeight="false" outlineLevel="1" collapsed="false">
      <c r="A120" s="38" t="str">
        <f aca="false">TEXT(SIP_Fund1_PPFAS!B118,"mmm-yyyy")</f>
        <v>Jun-2034</v>
      </c>
      <c r="B120" s="39" t="n">
        <f aca="false">SIP_Fund1_PPFAS!B118</f>
        <v>49096</v>
      </c>
      <c r="C120" s="40" t="n">
        <f aca="false">SIP_Fund1_PPFAS!C118</f>
        <v>12000</v>
      </c>
      <c r="D120" s="41" t="n">
        <f aca="false">SIP_Fund1_PPFAS!D118</f>
        <v>218.099456725804</v>
      </c>
      <c r="E120" s="42" t="n">
        <f aca="false">SIP_Fund1_PPFAS!E118</f>
        <v>55.0207697907588</v>
      </c>
      <c r="F120" s="38" t="n">
        <f aca="false">Assumptions!$C$5-B120</f>
        <v>593</v>
      </c>
      <c r="G120" s="41" t="n">
        <f aca="false">Assumptions!$D$19*(1+Assumptions!$F$19)^((Assumptions!$C$5-Assumptions!$C$4)/365)</f>
        <v>262.190538254849</v>
      </c>
      <c r="H120" s="40" t="n">
        <f aca="false">E120*G120</f>
        <v>14425.9252466352</v>
      </c>
      <c r="I120" s="48" t="n">
        <f aca="false">IF(F120&lt;365,Assumptions!$G$19,IF(F120&lt;=730,Assumptions!$H$19,Assumptions!$I$19))</f>
        <v>0.01</v>
      </c>
      <c r="J120" s="40" t="n">
        <f aca="false">H120*I120</f>
        <v>144.259252466352</v>
      </c>
      <c r="K120" s="40" t="n">
        <f aca="false">H120-J120</f>
        <v>14281.6659941688</v>
      </c>
      <c r="L120" s="40" t="n">
        <f aca="false">K120-C120</f>
        <v>2281.66599416882</v>
      </c>
      <c r="M120" s="38" t="str">
        <f aca="false">IF(F120&gt;365,"LTCG","STCG")</f>
        <v>LTCG</v>
      </c>
      <c r="N120" s="48" t="n">
        <f aca="false">IF(M120="LTCG",Assumptions!$C$12,Assumptions!$C$11)</f>
        <v>0.125</v>
      </c>
      <c r="O120" s="38" t="str">
        <f aca="false">IF(M120="STCG",MAX(L120,0)*Assumptions!$C$11,"agg. below")</f>
        <v>agg. below</v>
      </c>
    </row>
    <row r="121" customFormat="false" ht="15" hidden="false" customHeight="false" outlineLevel="1" collapsed="false">
      <c r="A121" s="33" t="str">
        <f aca="false">TEXT(SIP_Fund1_PPFAS!B119,"mmm-yyyy")</f>
        <v>Jul-2034</v>
      </c>
      <c r="B121" s="34" t="n">
        <f aca="false">SIP_Fund1_PPFAS!B119</f>
        <v>49126</v>
      </c>
      <c r="C121" s="35" t="n">
        <f aca="false">SIP_Fund1_PPFAS!C119</f>
        <v>12000</v>
      </c>
      <c r="D121" s="36" t="n">
        <f aca="false">SIP_Fund1_PPFAS!D119</f>
        <v>220.14047575211</v>
      </c>
      <c r="E121" s="37" t="n">
        <f aca="false">SIP_Fund1_PPFAS!E119</f>
        <v>54.510648071428</v>
      </c>
      <c r="F121" s="33" t="n">
        <f aca="false">Assumptions!$C$5-B121</f>
        <v>563</v>
      </c>
      <c r="G121" s="36" t="n">
        <f aca="false">Assumptions!$D$19*(1+Assumptions!$F$19)^((Assumptions!$C$5-Assumptions!$C$4)/365)</f>
        <v>262.190538254849</v>
      </c>
      <c r="H121" s="35" t="n">
        <f aca="false">E121*G121</f>
        <v>14292.1761584684</v>
      </c>
      <c r="I121" s="47" t="n">
        <f aca="false">IF(F121&lt;365,Assumptions!$G$19,IF(F121&lt;=730,Assumptions!$H$19,Assumptions!$I$19))</f>
        <v>0.01</v>
      </c>
      <c r="J121" s="35" t="n">
        <f aca="false">H121*I121</f>
        <v>142.921761584684</v>
      </c>
      <c r="K121" s="35" t="n">
        <f aca="false">H121-J121</f>
        <v>14149.2543968837</v>
      </c>
      <c r="L121" s="35" t="n">
        <f aca="false">K121-C121</f>
        <v>2149.25439688367</v>
      </c>
      <c r="M121" s="33" t="str">
        <f aca="false">IF(F121&gt;365,"LTCG","STCG")</f>
        <v>LTCG</v>
      </c>
      <c r="N121" s="47" t="n">
        <f aca="false">IF(M121="LTCG",Assumptions!$C$12,Assumptions!$C$11)</f>
        <v>0.125</v>
      </c>
      <c r="O121" s="33" t="str">
        <f aca="false">IF(M121="STCG",MAX(L121,0)*Assumptions!$C$11,"agg. below")</f>
        <v>agg. below</v>
      </c>
    </row>
    <row r="122" customFormat="false" ht="15" hidden="false" customHeight="false" outlineLevel="1" collapsed="false">
      <c r="A122" s="38" t="str">
        <f aca="false">TEXT(SIP_Fund1_PPFAS!B120,"mmm-yyyy")</f>
        <v>Aug-2034</v>
      </c>
      <c r="B122" s="39" t="n">
        <f aca="false">SIP_Fund1_PPFAS!B120</f>
        <v>49157</v>
      </c>
      <c r="C122" s="40" t="n">
        <f aca="false">SIP_Fund1_PPFAS!C120</f>
        <v>12000</v>
      </c>
      <c r="D122" s="41" t="n">
        <f aca="false">SIP_Fund1_PPFAS!D120</f>
        <v>222.269596723221</v>
      </c>
      <c r="E122" s="42" t="n">
        <f aca="false">SIP_Fund1_PPFAS!E120</f>
        <v>53.9884904499236</v>
      </c>
      <c r="F122" s="38" t="n">
        <f aca="false">Assumptions!$C$5-B122</f>
        <v>532</v>
      </c>
      <c r="G122" s="41" t="n">
        <f aca="false">Assumptions!$D$19*(1+Assumptions!$F$19)^((Assumptions!$C$5-Assumptions!$C$4)/365)</f>
        <v>262.190538254849</v>
      </c>
      <c r="H122" s="40" t="n">
        <f aca="false">E122*G122</f>
        <v>14155.2713706323</v>
      </c>
      <c r="I122" s="48" t="n">
        <f aca="false">IF(F122&lt;365,Assumptions!$G$19,IF(F122&lt;=730,Assumptions!$H$19,Assumptions!$I$19))</f>
        <v>0.01</v>
      </c>
      <c r="J122" s="40" t="n">
        <f aca="false">H122*I122</f>
        <v>141.552713706323</v>
      </c>
      <c r="K122" s="40" t="n">
        <f aca="false">H122-J122</f>
        <v>14013.7186569259</v>
      </c>
      <c r="L122" s="40" t="n">
        <f aca="false">K122-C122</f>
        <v>2013.71865692594</v>
      </c>
      <c r="M122" s="38" t="str">
        <f aca="false">IF(F122&gt;365,"LTCG","STCG")</f>
        <v>LTCG</v>
      </c>
      <c r="N122" s="48" t="n">
        <f aca="false">IF(M122="LTCG",Assumptions!$C$12,Assumptions!$C$11)</f>
        <v>0.125</v>
      </c>
      <c r="O122" s="38" t="str">
        <f aca="false">IF(M122="STCG",MAX(L122,0)*Assumptions!$C$11,"agg. below")</f>
        <v>agg. below</v>
      </c>
    </row>
    <row r="123" customFormat="false" ht="15" hidden="false" customHeight="false" outlineLevel="1" collapsed="false">
      <c r="A123" s="33" t="str">
        <f aca="false">TEXT(SIP_Fund1_PPFAS!B121,"mmm-yyyy")</f>
        <v>Sep-2034</v>
      </c>
      <c r="B123" s="34" t="n">
        <f aca="false">SIP_Fund1_PPFAS!B121</f>
        <v>49188</v>
      </c>
      <c r="C123" s="35" t="n">
        <f aca="false">SIP_Fund1_PPFAS!C121</f>
        <v>12000</v>
      </c>
      <c r="D123" s="36" t="n">
        <f aca="false">SIP_Fund1_PPFAS!D121</f>
        <v>224.419309800777</v>
      </c>
      <c r="E123" s="37" t="n">
        <f aca="false">SIP_Fund1_PPFAS!E121</f>
        <v>53.47133457746</v>
      </c>
      <c r="F123" s="33" t="n">
        <f aca="false">Assumptions!$C$5-B123</f>
        <v>501</v>
      </c>
      <c r="G123" s="36" t="n">
        <f aca="false">Assumptions!$D$19*(1+Assumptions!$F$19)^((Assumptions!$C$5-Assumptions!$C$4)/365)</f>
        <v>262.190538254849</v>
      </c>
      <c r="H123" s="35" t="n">
        <f aca="false">E123*G123</f>
        <v>14019.6779940693</v>
      </c>
      <c r="I123" s="47" t="n">
        <f aca="false">IF(F123&lt;365,Assumptions!$G$19,IF(F123&lt;=730,Assumptions!$H$19,Assumptions!$I$19))</f>
        <v>0.01</v>
      </c>
      <c r="J123" s="35" t="n">
        <f aca="false">H123*I123</f>
        <v>140.196779940694</v>
      </c>
      <c r="K123" s="35" t="n">
        <f aca="false">H123-J123</f>
        <v>13879.4812141287</v>
      </c>
      <c r="L123" s="35" t="n">
        <f aca="false">K123-C123</f>
        <v>1879.48121412865</v>
      </c>
      <c r="M123" s="33" t="str">
        <f aca="false">IF(F123&gt;365,"LTCG","STCG")</f>
        <v>LTCG</v>
      </c>
      <c r="N123" s="47" t="n">
        <f aca="false">IF(M123="LTCG",Assumptions!$C$12,Assumptions!$C$11)</f>
        <v>0.125</v>
      </c>
      <c r="O123" s="33" t="str">
        <f aca="false">IF(M123="STCG",MAX(L123,0)*Assumptions!$C$11,"agg. below")</f>
        <v>agg. below</v>
      </c>
    </row>
    <row r="124" customFormat="false" ht="15" hidden="false" customHeight="false" outlineLevel="1" collapsed="false">
      <c r="A124" s="38" t="str">
        <f aca="false">TEXT(SIP_Fund1_PPFAS!B122,"mmm-yyyy")</f>
        <v>Oct-2034</v>
      </c>
      <c r="B124" s="39" t="n">
        <f aca="false">SIP_Fund1_PPFAS!B122</f>
        <v>49218</v>
      </c>
      <c r="C124" s="40" t="n">
        <f aca="false">SIP_Fund1_PPFAS!C122</f>
        <v>12000</v>
      </c>
      <c r="D124" s="41" t="n">
        <f aca="false">SIP_Fund1_PPFAS!D122</f>
        <v>226.519471296135</v>
      </c>
      <c r="E124" s="42" t="n">
        <f aca="false">SIP_Fund1_PPFAS!E122</f>
        <v>52.9755783524326</v>
      </c>
      <c r="F124" s="38" t="n">
        <f aca="false">Assumptions!$C$5-B124</f>
        <v>471</v>
      </c>
      <c r="G124" s="41" t="n">
        <f aca="false">Assumptions!$D$19*(1+Assumptions!$F$19)^((Assumptions!$C$5-Assumptions!$C$4)/365)</f>
        <v>262.190538254849</v>
      </c>
      <c r="H124" s="40" t="n">
        <f aca="false">E124*G124</f>
        <v>13889.6954025862</v>
      </c>
      <c r="I124" s="48" t="n">
        <f aca="false">IF(F124&lt;365,Assumptions!$G$19,IF(F124&lt;=730,Assumptions!$H$19,Assumptions!$I$19))</f>
        <v>0.01</v>
      </c>
      <c r="J124" s="40" t="n">
        <f aca="false">H124*I124</f>
        <v>138.896954025862</v>
      </c>
      <c r="K124" s="40" t="n">
        <f aca="false">H124-J124</f>
        <v>13750.7984485604</v>
      </c>
      <c r="L124" s="40" t="n">
        <f aca="false">K124-C124</f>
        <v>1750.79844856037</v>
      </c>
      <c r="M124" s="38" t="str">
        <f aca="false">IF(F124&gt;365,"LTCG","STCG")</f>
        <v>LTCG</v>
      </c>
      <c r="N124" s="48" t="n">
        <f aca="false">IF(M124="LTCG",Assumptions!$C$12,Assumptions!$C$11)</f>
        <v>0.125</v>
      </c>
      <c r="O124" s="38" t="str">
        <f aca="false">IF(M124="STCG",MAX(L124,0)*Assumptions!$C$11,"agg. below")</f>
        <v>agg. below</v>
      </c>
    </row>
    <row r="125" customFormat="false" ht="15" hidden="false" customHeight="false" outlineLevel="1" collapsed="false">
      <c r="A125" s="33" t="str">
        <f aca="false">TEXT(SIP_Fund1_PPFAS!B123,"mmm-yyyy")</f>
        <v>Nov-2034</v>
      </c>
      <c r="B125" s="34" t="n">
        <f aca="false">SIP_Fund1_PPFAS!B123</f>
        <v>49249</v>
      </c>
      <c r="C125" s="35" t="n">
        <f aca="false">SIP_Fund1_PPFAS!C123</f>
        <v>12000</v>
      </c>
      <c r="D125" s="36" t="n">
        <f aca="false">SIP_Fund1_PPFAS!D123</f>
        <v>228.71028766034</v>
      </c>
      <c r="E125" s="37" t="n">
        <f aca="false">SIP_Fund1_PPFAS!E123</f>
        <v>52.468125167248</v>
      </c>
      <c r="F125" s="33" t="n">
        <f aca="false">Assumptions!$C$5-B125</f>
        <v>440</v>
      </c>
      <c r="G125" s="36" t="n">
        <f aca="false">Assumptions!$D$19*(1+Assumptions!$F$19)^((Assumptions!$C$5-Assumptions!$C$4)/365)</f>
        <v>262.190538254849</v>
      </c>
      <c r="H125" s="35" t="n">
        <f aca="false">E125*G125</f>
        <v>13756.6459788236</v>
      </c>
      <c r="I125" s="47" t="n">
        <f aca="false">IF(F125&lt;365,Assumptions!$G$19,IF(F125&lt;=730,Assumptions!$H$19,Assumptions!$I$19))</f>
        <v>0.01</v>
      </c>
      <c r="J125" s="35" t="n">
        <f aca="false">H125*I125</f>
        <v>137.566459788236</v>
      </c>
      <c r="K125" s="35" t="n">
        <f aca="false">H125-J125</f>
        <v>13619.0795190353</v>
      </c>
      <c r="L125" s="35" t="n">
        <f aca="false">K125-C125</f>
        <v>1619.07951903531</v>
      </c>
      <c r="M125" s="33" t="str">
        <f aca="false">IF(F125&gt;365,"LTCG","STCG")</f>
        <v>LTCG</v>
      </c>
      <c r="N125" s="47" t="n">
        <f aca="false">IF(M125="LTCG",Assumptions!$C$12,Assumptions!$C$11)</f>
        <v>0.125</v>
      </c>
      <c r="O125" s="33" t="str">
        <f aca="false">IF(M125="STCG",MAX(L125,0)*Assumptions!$C$11,"agg. below")</f>
        <v>agg. below</v>
      </c>
    </row>
    <row r="126" customFormat="false" ht="15" hidden="false" customHeight="false" outlineLevel="1" collapsed="false">
      <c r="A126" s="38" t="str">
        <f aca="false">TEXT(SIP_Fund1_PPFAS!B124,"mmm-yyyy")</f>
        <v>Dec-2034</v>
      </c>
      <c r="B126" s="39" t="n">
        <f aca="false">SIP_Fund1_PPFAS!B124</f>
        <v>49279</v>
      </c>
      <c r="C126" s="40" t="n">
        <f aca="false">SIP_Fund1_PPFAS!C124</f>
        <v>12000</v>
      </c>
      <c r="D126" s="41" t="n">
        <f aca="false">SIP_Fund1_PPFAS!D124</f>
        <v>230.850604998285</v>
      </c>
      <c r="E126" s="42" t="n">
        <f aca="false">SIP_Fund1_PPFAS!E124</f>
        <v>51.9816701372264</v>
      </c>
      <c r="F126" s="38" t="n">
        <f aca="false">Assumptions!$C$5-B126</f>
        <v>410</v>
      </c>
      <c r="G126" s="41" t="n">
        <f aca="false">Assumptions!$D$19*(1+Assumptions!$F$19)^((Assumptions!$C$5-Assumptions!$C$4)/365)</f>
        <v>262.190538254849</v>
      </c>
      <c r="H126" s="40" t="n">
        <f aca="false">E126*G126</f>
        <v>13629.1020726654</v>
      </c>
      <c r="I126" s="48" t="n">
        <f aca="false">IF(F126&lt;365,Assumptions!$G$19,IF(F126&lt;=730,Assumptions!$H$19,Assumptions!$I$19))</f>
        <v>0.01</v>
      </c>
      <c r="J126" s="40" t="n">
        <f aca="false">H126*I126</f>
        <v>136.291020726654</v>
      </c>
      <c r="K126" s="40" t="n">
        <f aca="false">H126-J126</f>
        <v>13492.8110519387</v>
      </c>
      <c r="L126" s="40" t="n">
        <f aca="false">K126-C126</f>
        <v>1492.81105193874</v>
      </c>
      <c r="M126" s="38" t="str">
        <f aca="false">IF(F126&gt;365,"LTCG","STCG")</f>
        <v>LTCG</v>
      </c>
      <c r="N126" s="48" t="n">
        <f aca="false">IF(M126="LTCG",Assumptions!$C$12,Assumptions!$C$11)</f>
        <v>0.125</v>
      </c>
      <c r="O126" s="38" t="str">
        <f aca="false">IF(M126="STCG",MAX(L126,0)*Assumptions!$C$11,"agg. below")</f>
        <v>agg. below</v>
      </c>
    </row>
    <row r="127" customFormat="false" ht="15" hidden="false" customHeight="false" outlineLevel="0" collapsed="false">
      <c r="A127" s="49" t="s">
        <v>147</v>
      </c>
      <c r="B127" s="49"/>
      <c r="C127" s="44" t="n">
        <f aca="false">SUM(C7:C126)</f>
        <v>900000</v>
      </c>
      <c r="D127" s="49"/>
      <c r="E127" s="49"/>
      <c r="F127" s="49"/>
      <c r="G127" s="49"/>
      <c r="H127" s="44" t="n">
        <f aca="false">SUM(H7:H126)</f>
        <v>1660328.69282811</v>
      </c>
      <c r="I127" s="49"/>
      <c r="J127" s="44" t="n">
        <f aca="false">SUM(J7:J126)</f>
        <v>1572.53196139096</v>
      </c>
      <c r="K127" s="44" t="n">
        <f aca="false">SUM(K7:K126)</f>
        <v>1658756.16086672</v>
      </c>
      <c r="L127" s="44" t="n">
        <f aca="false">SUM(L7:L126)</f>
        <v>758756.160866721</v>
      </c>
      <c r="M127" s="49"/>
      <c r="N127" s="49"/>
      <c r="O127" s="44" t="n">
        <f aca="false">SUMIF(M7:M126,"STCG",O7:O126)+MAX(0,SUMIF(M7:M126,"LTCG",L7:L126)-Assumptions!$C$13)*Assumptions!$C$12</f>
        <v>79219.5201083401</v>
      </c>
    </row>
    <row r="128" customFormat="false" ht="15" hidden="false" customHeight="false" outlineLevel="0" collapsed="false">
      <c r="A128" s="50" t="s">
        <v>148</v>
      </c>
      <c r="B128" s="50"/>
      <c r="C128" s="50"/>
      <c r="D128" s="50"/>
      <c r="E128" s="50"/>
      <c r="F128" s="50"/>
      <c r="G128" s="50"/>
      <c r="H128" s="50"/>
      <c r="I128" s="50"/>
      <c r="J128" s="50"/>
      <c r="K128" s="50"/>
      <c r="L128" s="50"/>
      <c r="M128" s="50"/>
      <c r="N128" s="50"/>
      <c r="O128" s="51" t="n">
        <f aca="false">K127-O127</f>
        <v>1579536.64075838</v>
      </c>
    </row>
    <row r="130" customFormat="false" ht="15" hidden="false" customHeight="false" outlineLevel="0" collapsed="false">
      <c r="A130" s="5" t="s">
        <v>149</v>
      </c>
    </row>
    <row r="131" customFormat="false" ht="25.5" hidden="false" customHeight="true" outlineLevel="0" collapsed="false">
      <c r="A131" s="46" t="s">
        <v>132</v>
      </c>
      <c r="B131" s="46" t="s">
        <v>133</v>
      </c>
      <c r="C131" s="46" t="s">
        <v>134</v>
      </c>
      <c r="D131" s="46" t="s">
        <v>135</v>
      </c>
      <c r="E131" s="46" t="s">
        <v>136</v>
      </c>
      <c r="F131" s="46" t="s">
        <v>137</v>
      </c>
      <c r="G131" s="46" t="s">
        <v>138</v>
      </c>
      <c r="H131" s="46" t="s">
        <v>139</v>
      </c>
      <c r="I131" s="46" t="s">
        <v>140</v>
      </c>
      <c r="J131" s="46" t="s">
        <v>141</v>
      </c>
      <c r="K131" s="46" t="s">
        <v>142</v>
      </c>
      <c r="L131" s="46" t="s">
        <v>143</v>
      </c>
      <c r="M131" s="46" t="s">
        <v>144</v>
      </c>
      <c r="N131" s="46" t="s">
        <v>145</v>
      </c>
      <c r="O131" s="46" t="s">
        <v>146</v>
      </c>
    </row>
    <row r="132" customFormat="false" ht="15" hidden="false" customHeight="false" outlineLevel="1" collapsed="false">
      <c r="A132" s="33" t="str">
        <f aca="false">TEXT(SIP_Fund1_PPFAS!B5,"mmm-yyyy")</f>
        <v>Jan-2025</v>
      </c>
      <c r="B132" s="34" t="n">
        <f aca="false">SIP_Fund1_PPFAS!B5</f>
        <v>45658</v>
      </c>
      <c r="C132" s="35" t="n">
        <f aca="false">SIP_Fund1_PPFAS!C5</f>
        <v>3000</v>
      </c>
      <c r="D132" s="36" t="n">
        <f aca="false">SIP_Fund1_PPFAS!H5</f>
        <v>70</v>
      </c>
      <c r="E132" s="37" t="n">
        <f aca="false">SIP_Fund1_PPFAS!I5</f>
        <v>42.8571428571429</v>
      </c>
      <c r="F132" s="33" t="n">
        <f aca="false">Assumptions!$C$5-B132</f>
        <v>4031</v>
      </c>
      <c r="G132" s="36" t="n">
        <f aca="false">Assumptions!$D$20*(1+Assumptions!$F$20)^((Assumptions!$C$5-Assumptions!$C$4)/365)</f>
        <v>232.452118359096</v>
      </c>
      <c r="H132" s="35" t="n">
        <f aca="false">E132*G132</f>
        <v>9962.23364396125</v>
      </c>
      <c r="I132" s="47" t="n">
        <f aca="false">IF(F132&lt;365,Assumptions!$G$20,IF(F132&lt;=730,Assumptions!$H$20,Assumptions!$I$20))</f>
        <v>0</v>
      </c>
      <c r="J132" s="35" t="n">
        <f aca="false">H132*I132</f>
        <v>0</v>
      </c>
      <c r="K132" s="35" t="n">
        <f aca="false">H132-J132</f>
        <v>9962.23364396125</v>
      </c>
      <c r="L132" s="35" t="n">
        <f aca="false">K132-C132</f>
        <v>6962.23364396125</v>
      </c>
      <c r="M132" s="33" t="str">
        <f aca="false">IF(F132&gt;365,"LTCG","STCG")</f>
        <v>LTCG</v>
      </c>
      <c r="N132" s="47" t="n">
        <f aca="false">IF(M132="LTCG",Assumptions!$C$12,Assumptions!$C$11)</f>
        <v>0.125</v>
      </c>
      <c r="O132" s="33" t="str">
        <f aca="false">IF(M132="STCG",MAX(L132,0)*Assumptions!$C$11,"agg. below")</f>
        <v>agg. below</v>
      </c>
    </row>
    <row r="133" customFormat="false" ht="15" hidden="false" customHeight="false" outlineLevel="1" collapsed="false">
      <c r="A133" s="38" t="str">
        <f aca="false">TEXT(SIP_Fund1_PPFAS!B6,"mmm-yyyy")</f>
        <v>Feb-2025</v>
      </c>
      <c r="B133" s="39" t="n">
        <f aca="false">SIP_Fund1_PPFAS!B6</f>
        <v>45689</v>
      </c>
      <c r="C133" s="40" t="n">
        <f aca="false">SIP_Fund1_PPFAS!C6</f>
        <v>3000</v>
      </c>
      <c r="D133" s="41" t="n">
        <f aca="false">SIP_Fund1_PPFAS!H6</f>
        <v>70.6490862073441</v>
      </c>
      <c r="E133" s="42" t="n">
        <f aca="false">SIP_Fund1_PPFAS!I6</f>
        <v>42.4633942354961</v>
      </c>
      <c r="F133" s="38" t="n">
        <f aca="false">Assumptions!$C$5-B133</f>
        <v>4000</v>
      </c>
      <c r="G133" s="41" t="n">
        <f aca="false">Assumptions!$D$20*(1+Assumptions!$F$20)^((Assumptions!$C$5-Assumptions!$C$4)/365)</f>
        <v>232.452118359096</v>
      </c>
      <c r="H133" s="40" t="n">
        <f aca="false">E133*G133</f>
        <v>9870.70594275848</v>
      </c>
      <c r="I133" s="48" t="n">
        <f aca="false">IF(F133&lt;365,Assumptions!$G$20,IF(F133&lt;=730,Assumptions!$H$20,Assumptions!$I$20))</f>
        <v>0</v>
      </c>
      <c r="J133" s="40" t="n">
        <f aca="false">H133*I133</f>
        <v>0</v>
      </c>
      <c r="K133" s="40" t="n">
        <f aca="false">H133-J133</f>
        <v>9870.70594275848</v>
      </c>
      <c r="L133" s="40" t="n">
        <f aca="false">K133-C133</f>
        <v>6870.70594275848</v>
      </c>
      <c r="M133" s="38" t="str">
        <f aca="false">IF(F133&gt;365,"LTCG","STCG")</f>
        <v>LTCG</v>
      </c>
      <c r="N133" s="48" t="n">
        <f aca="false">IF(M133="LTCG",Assumptions!$C$12,Assumptions!$C$11)</f>
        <v>0.125</v>
      </c>
      <c r="O133" s="38" t="str">
        <f aca="false">IF(M133="STCG",MAX(L133,0)*Assumptions!$C$11,"agg. below")</f>
        <v>agg. below</v>
      </c>
    </row>
    <row r="134" customFormat="false" ht="15" hidden="false" customHeight="false" outlineLevel="1" collapsed="false">
      <c r="A134" s="33" t="str">
        <f aca="false">TEXT(SIP_Fund1_PPFAS!B7,"mmm-yyyy")</f>
        <v>Mar-2025</v>
      </c>
      <c r="B134" s="34" t="n">
        <f aca="false">SIP_Fund1_PPFAS!B7</f>
        <v>45717</v>
      </c>
      <c r="C134" s="35" t="n">
        <f aca="false">SIP_Fund1_PPFAS!C7</f>
        <v>3000</v>
      </c>
      <c r="D134" s="36" t="n">
        <f aca="false">SIP_Fund1_PPFAS!H7</f>
        <v>71.2405293259201</v>
      </c>
      <c r="E134" s="37" t="n">
        <f aca="false">SIP_Fund1_PPFAS!I7</f>
        <v>42.1108606068215</v>
      </c>
      <c r="F134" s="33" t="n">
        <f aca="false">Assumptions!$C$5-B134</f>
        <v>3972</v>
      </c>
      <c r="G134" s="36" t="n">
        <f aca="false">Assumptions!$D$20*(1+Assumptions!$F$20)^((Assumptions!$C$5-Assumptions!$C$4)/365)</f>
        <v>232.452118359096</v>
      </c>
      <c r="H134" s="35" t="n">
        <f aca="false">E134*G134</f>
        <v>9788.75875398025</v>
      </c>
      <c r="I134" s="47" t="n">
        <f aca="false">IF(F134&lt;365,Assumptions!$G$20,IF(F134&lt;=730,Assumptions!$H$20,Assumptions!$I$20))</f>
        <v>0</v>
      </c>
      <c r="J134" s="35" t="n">
        <f aca="false">H134*I134</f>
        <v>0</v>
      </c>
      <c r="K134" s="35" t="n">
        <f aca="false">H134-J134</f>
        <v>9788.75875398025</v>
      </c>
      <c r="L134" s="35" t="n">
        <f aca="false">K134-C134</f>
        <v>6788.75875398025</v>
      </c>
      <c r="M134" s="33" t="str">
        <f aca="false">IF(F134&gt;365,"LTCG","STCG")</f>
        <v>LTCG</v>
      </c>
      <c r="N134" s="47" t="n">
        <f aca="false">IF(M134="LTCG",Assumptions!$C$12,Assumptions!$C$11)</f>
        <v>0.125</v>
      </c>
      <c r="O134" s="33" t="str">
        <f aca="false">IF(M134="STCG",MAX(L134,0)*Assumptions!$C$11,"agg. below")</f>
        <v>agg. below</v>
      </c>
    </row>
    <row r="135" customFormat="false" ht="15" hidden="false" customHeight="false" outlineLevel="1" collapsed="false">
      <c r="A135" s="38" t="str">
        <f aca="false">TEXT(SIP_Fund1_PPFAS!B8,"mmm-yyyy")</f>
        <v>Apr-2025</v>
      </c>
      <c r="B135" s="39" t="n">
        <f aca="false">SIP_Fund1_PPFAS!B8</f>
        <v>45748</v>
      </c>
      <c r="C135" s="40" t="n">
        <f aca="false">SIP_Fund1_PPFAS!C8</f>
        <v>3000</v>
      </c>
      <c r="D135" s="41" t="n">
        <f aca="false">SIP_Fund1_PPFAS!H8</f>
        <v>71.9011185400536</v>
      </c>
      <c r="E135" s="42" t="n">
        <f aca="false">SIP_Fund1_PPFAS!I8</f>
        <v>41.7239684293479</v>
      </c>
      <c r="F135" s="38" t="n">
        <f aca="false">Assumptions!$C$5-B135</f>
        <v>3941</v>
      </c>
      <c r="G135" s="41" t="n">
        <f aca="false">Assumptions!$D$20*(1+Assumptions!$F$20)^((Assumptions!$C$5-Assumptions!$C$4)/365)</f>
        <v>232.452118359096</v>
      </c>
      <c r="H135" s="40" t="n">
        <f aca="false">E135*G135</f>
        <v>9698.82484774996</v>
      </c>
      <c r="I135" s="48" t="n">
        <f aca="false">IF(F135&lt;365,Assumptions!$G$20,IF(F135&lt;=730,Assumptions!$H$20,Assumptions!$I$20))</f>
        <v>0</v>
      </c>
      <c r="J135" s="40" t="n">
        <f aca="false">H135*I135</f>
        <v>0</v>
      </c>
      <c r="K135" s="40" t="n">
        <f aca="false">H135-J135</f>
        <v>9698.82484774996</v>
      </c>
      <c r="L135" s="40" t="n">
        <f aca="false">K135-C135</f>
        <v>6698.82484774996</v>
      </c>
      <c r="M135" s="38" t="str">
        <f aca="false">IF(F135&gt;365,"LTCG","STCG")</f>
        <v>LTCG</v>
      </c>
      <c r="N135" s="48" t="n">
        <f aca="false">IF(M135="LTCG",Assumptions!$C$12,Assumptions!$C$11)</f>
        <v>0.125</v>
      </c>
      <c r="O135" s="38" t="str">
        <f aca="false">IF(M135="STCG",MAX(L135,0)*Assumptions!$C$11,"agg. below")</f>
        <v>agg. below</v>
      </c>
    </row>
    <row r="136" customFormat="false" ht="15" hidden="false" customHeight="false" outlineLevel="1" collapsed="false">
      <c r="A136" s="33" t="str">
        <f aca="false">TEXT(SIP_Fund1_PPFAS!B9,"mmm-yyyy")</f>
        <v>May-2025</v>
      </c>
      <c r="B136" s="34" t="n">
        <f aca="false">SIP_Fund1_PPFAS!B9</f>
        <v>45778</v>
      </c>
      <c r="C136" s="35" t="n">
        <f aca="false">SIP_Fund1_PPFAS!C9</f>
        <v>3000</v>
      </c>
      <c r="D136" s="36" t="n">
        <f aca="false">SIP_Fund1_PPFAS!H9</f>
        <v>72.5462300595786</v>
      </c>
      <c r="E136" s="37" t="n">
        <f aca="false">SIP_Fund1_PPFAS!I9</f>
        <v>41.3529413938705</v>
      </c>
      <c r="F136" s="33" t="n">
        <f aca="false">Assumptions!$C$5-B136</f>
        <v>3911</v>
      </c>
      <c r="G136" s="36" t="n">
        <f aca="false">Assumptions!$D$20*(1+Assumptions!$F$20)^((Assumptions!$C$5-Assumptions!$C$4)/365)</f>
        <v>232.452118359096</v>
      </c>
      <c r="H136" s="35" t="n">
        <f aca="false">E136*G136</f>
        <v>9612.57882738474</v>
      </c>
      <c r="I136" s="47" t="n">
        <f aca="false">IF(F136&lt;365,Assumptions!$G$20,IF(F136&lt;=730,Assumptions!$H$20,Assumptions!$I$20))</f>
        <v>0</v>
      </c>
      <c r="J136" s="35" t="n">
        <f aca="false">H136*I136</f>
        <v>0</v>
      </c>
      <c r="K136" s="35" t="n">
        <f aca="false">H136-J136</f>
        <v>9612.57882738474</v>
      </c>
      <c r="L136" s="35" t="n">
        <f aca="false">K136-C136</f>
        <v>6612.57882738474</v>
      </c>
      <c r="M136" s="33" t="str">
        <f aca="false">IF(F136&gt;365,"LTCG","STCG")</f>
        <v>LTCG</v>
      </c>
      <c r="N136" s="47" t="n">
        <f aca="false">IF(M136="LTCG",Assumptions!$C$12,Assumptions!$C$11)</f>
        <v>0.125</v>
      </c>
      <c r="O136" s="33" t="str">
        <f aca="false">IF(M136="STCG",MAX(L136,0)*Assumptions!$C$11,"agg. below")</f>
        <v>agg. below</v>
      </c>
    </row>
    <row r="137" customFormat="false" ht="15" hidden="false" customHeight="false" outlineLevel="1" collapsed="false">
      <c r="A137" s="38" t="str">
        <f aca="false">TEXT(SIP_Fund1_PPFAS!B10,"mmm-yyyy")</f>
        <v>Jun-2025</v>
      </c>
      <c r="B137" s="39" t="n">
        <f aca="false">SIP_Fund1_PPFAS!B10</f>
        <v>45809</v>
      </c>
      <c r="C137" s="40" t="n">
        <f aca="false">SIP_Fund1_PPFAS!C10</f>
        <v>3000</v>
      </c>
      <c r="D137" s="41" t="n">
        <f aca="false">SIP_Fund1_PPFAS!H10</f>
        <v>73.218926592814</v>
      </c>
      <c r="E137" s="42" t="n">
        <f aca="false">SIP_Fund1_PPFAS!I10</f>
        <v>40.9730125747901</v>
      </c>
      <c r="F137" s="38" t="n">
        <f aca="false">Assumptions!$C$5-B137</f>
        <v>3880</v>
      </c>
      <c r="G137" s="41" t="n">
        <f aca="false">Assumptions!$D$20*(1+Assumptions!$F$20)^((Assumptions!$C$5-Assumptions!$C$4)/365)</f>
        <v>232.452118359096</v>
      </c>
      <c r="H137" s="40" t="n">
        <f aca="false">E137*G137</f>
        <v>9524.26356856382</v>
      </c>
      <c r="I137" s="48" t="n">
        <f aca="false">IF(F137&lt;365,Assumptions!$G$20,IF(F137&lt;=730,Assumptions!$H$20,Assumptions!$I$20))</f>
        <v>0</v>
      </c>
      <c r="J137" s="40" t="n">
        <f aca="false">H137*I137</f>
        <v>0</v>
      </c>
      <c r="K137" s="40" t="n">
        <f aca="false">H137-J137</f>
        <v>9524.26356856382</v>
      </c>
      <c r="L137" s="40" t="n">
        <f aca="false">K137-C137</f>
        <v>6524.26356856382</v>
      </c>
      <c r="M137" s="38" t="str">
        <f aca="false">IF(F137&gt;365,"LTCG","STCG")</f>
        <v>LTCG</v>
      </c>
      <c r="N137" s="48" t="n">
        <f aca="false">IF(M137="LTCG",Assumptions!$C$12,Assumptions!$C$11)</f>
        <v>0.125</v>
      </c>
      <c r="O137" s="38" t="str">
        <f aca="false">IF(M137="STCG",MAX(L137,0)*Assumptions!$C$11,"agg. below")</f>
        <v>agg. below</v>
      </c>
    </row>
    <row r="138" customFormat="false" ht="15" hidden="false" customHeight="false" outlineLevel="1" collapsed="false">
      <c r="A138" s="33" t="str">
        <f aca="false">TEXT(SIP_Fund1_PPFAS!B11,"mmm-yyyy")</f>
        <v>Jul-2025</v>
      </c>
      <c r="B138" s="34" t="n">
        <f aca="false">SIP_Fund1_PPFAS!B11</f>
        <v>45839</v>
      </c>
      <c r="C138" s="35" t="n">
        <f aca="false">SIP_Fund1_PPFAS!C11</f>
        <v>3000</v>
      </c>
      <c r="D138" s="36" t="n">
        <f aca="false">SIP_Fund1_PPFAS!H11</f>
        <v>73.8758617553172</v>
      </c>
      <c r="E138" s="37" t="n">
        <f aca="false">SIP_Fund1_PPFAS!I11</f>
        <v>40.6086633538874</v>
      </c>
      <c r="F138" s="33" t="n">
        <f aca="false">Assumptions!$C$5-B138</f>
        <v>3850</v>
      </c>
      <c r="G138" s="36" t="n">
        <f aca="false">Assumptions!$D$20*(1+Assumptions!$F$20)^((Assumptions!$C$5-Assumptions!$C$4)/365)</f>
        <v>232.452118359096</v>
      </c>
      <c r="H138" s="35" t="n">
        <f aca="false">E138*G138</f>
        <v>9439.5698203425</v>
      </c>
      <c r="I138" s="47" t="n">
        <f aca="false">IF(F138&lt;365,Assumptions!$G$20,IF(F138&lt;=730,Assumptions!$H$20,Assumptions!$I$20))</f>
        <v>0</v>
      </c>
      <c r="J138" s="35" t="n">
        <f aca="false">H138*I138</f>
        <v>0</v>
      </c>
      <c r="K138" s="35" t="n">
        <f aca="false">H138-J138</f>
        <v>9439.5698203425</v>
      </c>
      <c r="L138" s="35" t="n">
        <f aca="false">K138-C138</f>
        <v>6439.5698203425</v>
      </c>
      <c r="M138" s="33" t="str">
        <f aca="false">IF(F138&gt;365,"LTCG","STCG")</f>
        <v>LTCG</v>
      </c>
      <c r="N138" s="47" t="n">
        <f aca="false">IF(M138="LTCG",Assumptions!$C$12,Assumptions!$C$11)</f>
        <v>0.125</v>
      </c>
      <c r="O138" s="33" t="str">
        <f aca="false">IF(M138="STCG",MAX(L138,0)*Assumptions!$C$11,"agg. below")</f>
        <v>agg. below</v>
      </c>
    </row>
    <row r="139" customFormat="false" ht="15" hidden="false" customHeight="false" outlineLevel="1" collapsed="false">
      <c r="A139" s="38" t="str">
        <f aca="false">TEXT(SIP_Fund1_PPFAS!B12,"mmm-yyyy")</f>
        <v>Aug-2025</v>
      </c>
      <c r="B139" s="39" t="n">
        <f aca="false">SIP_Fund1_PPFAS!B12</f>
        <v>45870</v>
      </c>
      <c r="C139" s="40" t="n">
        <f aca="false">SIP_Fund1_PPFAS!C12</f>
        <v>3000</v>
      </c>
      <c r="D139" s="41" t="n">
        <f aca="false">SIP_Fund1_PPFAS!H12</f>
        <v>74.560887511332</v>
      </c>
      <c r="E139" s="42" t="n">
        <f aca="false">SIP_Fund1_PPFAS!I12</f>
        <v>40.2355725653621</v>
      </c>
      <c r="F139" s="38" t="n">
        <f aca="false">Assumptions!$C$5-B139</f>
        <v>3819</v>
      </c>
      <c r="G139" s="41" t="n">
        <f aca="false">Assumptions!$D$20*(1+Assumptions!$F$20)^((Assumptions!$C$5-Assumptions!$C$4)/365)</f>
        <v>232.452118359096</v>
      </c>
      <c r="H139" s="40" t="n">
        <f aca="false">E139*G139</f>
        <v>9352.84407620954</v>
      </c>
      <c r="I139" s="48" t="n">
        <f aca="false">IF(F139&lt;365,Assumptions!$G$20,IF(F139&lt;=730,Assumptions!$H$20,Assumptions!$I$20))</f>
        <v>0</v>
      </c>
      <c r="J139" s="40" t="n">
        <f aca="false">H139*I139</f>
        <v>0</v>
      </c>
      <c r="K139" s="40" t="n">
        <f aca="false">H139-J139</f>
        <v>9352.84407620954</v>
      </c>
      <c r="L139" s="40" t="n">
        <f aca="false">K139-C139</f>
        <v>6352.84407620954</v>
      </c>
      <c r="M139" s="38" t="str">
        <f aca="false">IF(F139&gt;365,"LTCG","STCG")</f>
        <v>LTCG</v>
      </c>
      <c r="N139" s="48" t="n">
        <f aca="false">IF(M139="LTCG",Assumptions!$C$12,Assumptions!$C$11)</f>
        <v>0.125</v>
      </c>
      <c r="O139" s="38" t="str">
        <f aca="false">IF(M139="STCG",MAX(L139,0)*Assumptions!$C$11,"agg. below")</f>
        <v>agg. below</v>
      </c>
    </row>
    <row r="140" customFormat="false" ht="15" hidden="false" customHeight="false" outlineLevel="1" collapsed="false">
      <c r="A140" s="33" t="str">
        <f aca="false">TEXT(SIP_Fund1_PPFAS!B13,"mmm-yyyy")</f>
        <v>Sep-2025</v>
      </c>
      <c r="B140" s="34" t="n">
        <f aca="false">SIP_Fund1_PPFAS!B13</f>
        <v>45901</v>
      </c>
      <c r="C140" s="35" t="n">
        <f aca="false">SIP_Fund1_PPFAS!C13</f>
        <v>3000</v>
      </c>
      <c r="D140" s="36" t="n">
        <f aca="false">SIP_Fund1_PPFAS!H13</f>
        <v>75.2522652783454</v>
      </c>
      <c r="E140" s="37" t="n">
        <f aca="false">SIP_Fund1_PPFAS!I13</f>
        <v>39.8659095364572</v>
      </c>
      <c r="F140" s="33" t="n">
        <f aca="false">Assumptions!$C$5-B140</f>
        <v>3788</v>
      </c>
      <c r="G140" s="36" t="n">
        <f aca="false">Assumptions!$D$20*(1+Assumptions!$F$20)^((Assumptions!$C$5-Assumptions!$C$4)/365)</f>
        <v>232.452118359096</v>
      </c>
      <c r="H140" s="35" t="n">
        <f aca="false">E140*G140</f>
        <v>9266.91512206156</v>
      </c>
      <c r="I140" s="47" t="n">
        <f aca="false">IF(F140&lt;365,Assumptions!$G$20,IF(F140&lt;=730,Assumptions!$H$20,Assumptions!$I$20))</f>
        <v>0</v>
      </c>
      <c r="J140" s="35" t="n">
        <f aca="false">H140*I140</f>
        <v>0</v>
      </c>
      <c r="K140" s="35" t="n">
        <f aca="false">H140-J140</f>
        <v>9266.91512206156</v>
      </c>
      <c r="L140" s="35" t="n">
        <f aca="false">K140-C140</f>
        <v>6266.91512206156</v>
      </c>
      <c r="M140" s="33" t="str">
        <f aca="false">IF(F140&gt;365,"LTCG","STCG")</f>
        <v>LTCG</v>
      </c>
      <c r="N140" s="47" t="n">
        <f aca="false">IF(M140="LTCG",Assumptions!$C$12,Assumptions!$C$11)</f>
        <v>0.125</v>
      </c>
      <c r="O140" s="33" t="str">
        <f aca="false">IF(M140="STCG",MAX(L140,0)*Assumptions!$C$11,"agg. below")</f>
        <v>agg. below</v>
      </c>
    </row>
    <row r="141" customFormat="false" ht="15" hidden="false" customHeight="false" outlineLevel="1" collapsed="false">
      <c r="A141" s="38" t="str">
        <f aca="false">TEXT(SIP_Fund1_PPFAS!B14,"mmm-yyyy")</f>
        <v>Oct-2025</v>
      </c>
      <c r="B141" s="39" t="n">
        <f aca="false">SIP_Fund1_PPFAS!B14</f>
        <v>45931</v>
      </c>
      <c r="C141" s="40" t="n">
        <f aca="false">SIP_Fund1_PPFAS!C14</f>
        <v>3000</v>
      </c>
      <c r="D141" s="41" t="n">
        <f aca="false">SIP_Fund1_PPFAS!H14</f>
        <v>75.9274439707932</v>
      </c>
      <c r="E141" s="42" t="n">
        <f aca="false">SIP_Fund1_PPFAS!I14</f>
        <v>39.5114051403338</v>
      </c>
      <c r="F141" s="38" t="n">
        <f aca="false">Assumptions!$C$5-B141</f>
        <v>3758</v>
      </c>
      <c r="G141" s="41" t="n">
        <f aca="false">Assumptions!$D$20*(1+Assumptions!$F$20)^((Assumptions!$C$5-Assumptions!$C$4)/365)</f>
        <v>232.452118359096</v>
      </c>
      <c r="H141" s="40" t="n">
        <f aca="false">E141*G141</f>
        <v>9184.50982421505</v>
      </c>
      <c r="I141" s="48" t="n">
        <f aca="false">IF(F141&lt;365,Assumptions!$G$20,IF(F141&lt;=730,Assumptions!$H$20,Assumptions!$I$20))</f>
        <v>0</v>
      </c>
      <c r="J141" s="40" t="n">
        <f aca="false">H141*I141</f>
        <v>0</v>
      </c>
      <c r="K141" s="40" t="n">
        <f aca="false">H141-J141</f>
        <v>9184.50982421505</v>
      </c>
      <c r="L141" s="40" t="n">
        <f aca="false">K141-C141</f>
        <v>6184.50982421505</v>
      </c>
      <c r="M141" s="38" t="str">
        <f aca="false">IF(F141&gt;365,"LTCG","STCG")</f>
        <v>LTCG</v>
      </c>
      <c r="N141" s="48" t="n">
        <f aca="false">IF(M141="LTCG",Assumptions!$C$12,Assumptions!$C$11)</f>
        <v>0.125</v>
      </c>
      <c r="O141" s="38" t="str">
        <f aca="false">IF(M141="STCG",MAX(L141,0)*Assumptions!$C$11,"agg. below")</f>
        <v>agg. below</v>
      </c>
    </row>
    <row r="142" customFormat="false" ht="15" hidden="false" customHeight="false" outlineLevel="1" collapsed="false">
      <c r="A142" s="33" t="str">
        <f aca="false">TEXT(SIP_Fund1_PPFAS!B15,"mmm-yyyy")</f>
        <v>Nov-2025</v>
      </c>
      <c r="B142" s="34" t="n">
        <f aca="false">SIP_Fund1_PPFAS!B15</f>
        <v>45962</v>
      </c>
      <c r="C142" s="35" t="n">
        <f aca="false">SIP_Fund1_PPFAS!C15</f>
        <v>3000</v>
      </c>
      <c r="D142" s="36" t="n">
        <f aca="false">SIP_Fund1_PPFAS!H15</f>
        <v>76.6314933513693</v>
      </c>
      <c r="E142" s="37" t="n">
        <f aca="false">SIP_Fund1_PPFAS!I15</f>
        <v>39.148395376356</v>
      </c>
      <c r="F142" s="33" t="n">
        <f aca="false">Assumptions!$C$5-B142</f>
        <v>3727</v>
      </c>
      <c r="G142" s="36" t="n">
        <f aca="false">Assumptions!$D$20*(1+Assumptions!$F$20)^((Assumptions!$C$5-Assumptions!$C$4)/365)</f>
        <v>232.452118359096</v>
      </c>
      <c r="H142" s="35" t="n">
        <f aca="false">E142*G142</f>
        <v>9100.12743559338</v>
      </c>
      <c r="I142" s="47" t="n">
        <f aca="false">IF(F142&lt;365,Assumptions!$G$20,IF(F142&lt;=730,Assumptions!$H$20,Assumptions!$I$20))</f>
        <v>0</v>
      </c>
      <c r="J142" s="35" t="n">
        <f aca="false">H142*I142</f>
        <v>0</v>
      </c>
      <c r="K142" s="35" t="n">
        <f aca="false">H142-J142</f>
        <v>9100.12743559338</v>
      </c>
      <c r="L142" s="35" t="n">
        <f aca="false">K142-C142</f>
        <v>6100.12743559338</v>
      </c>
      <c r="M142" s="33" t="str">
        <f aca="false">IF(F142&gt;365,"LTCG","STCG")</f>
        <v>LTCG</v>
      </c>
      <c r="N142" s="47" t="n">
        <f aca="false">IF(M142="LTCG",Assumptions!$C$12,Assumptions!$C$11)</f>
        <v>0.125</v>
      </c>
      <c r="O142" s="33" t="str">
        <f aca="false">IF(M142="STCG",MAX(L142,0)*Assumptions!$C$11,"agg. below")</f>
        <v>agg. below</v>
      </c>
    </row>
    <row r="143" customFormat="false" ht="15" hidden="false" customHeight="false" outlineLevel="1" collapsed="false">
      <c r="A143" s="38" t="str">
        <f aca="false">TEXT(SIP_Fund1_PPFAS!B16,"mmm-yyyy")</f>
        <v>Dec-2025</v>
      </c>
      <c r="B143" s="39" t="n">
        <f aca="false">SIP_Fund1_PPFAS!B16</f>
        <v>45992</v>
      </c>
      <c r="C143" s="40" t="n">
        <f aca="false">SIP_Fund1_PPFAS!C16</f>
        <v>3000</v>
      </c>
      <c r="D143" s="41" t="n">
        <f aca="false">SIP_Fund1_PPFAS!H16</f>
        <v>77.3190467597607</v>
      </c>
      <c r="E143" s="42" t="n">
        <f aca="false">SIP_Fund1_PPFAS!I16</f>
        <v>38.8002714172273</v>
      </c>
      <c r="F143" s="38" t="n">
        <f aca="false">Assumptions!$C$5-B143</f>
        <v>3697</v>
      </c>
      <c r="G143" s="41" t="n">
        <f aca="false">Assumptions!$D$20*(1+Assumptions!$F$20)^((Assumptions!$C$5-Assumptions!$C$4)/365)</f>
        <v>232.452118359096</v>
      </c>
      <c r="H143" s="40" t="n">
        <f aca="false">E143*G143</f>
        <v>9019.20528384235</v>
      </c>
      <c r="I143" s="48" t="n">
        <f aca="false">IF(F143&lt;365,Assumptions!$G$20,IF(F143&lt;=730,Assumptions!$H$20,Assumptions!$I$20))</f>
        <v>0</v>
      </c>
      <c r="J143" s="40" t="n">
        <f aca="false">H143*I143</f>
        <v>0</v>
      </c>
      <c r="K143" s="40" t="n">
        <f aca="false">H143-J143</f>
        <v>9019.20528384235</v>
      </c>
      <c r="L143" s="40" t="n">
        <f aca="false">K143-C143</f>
        <v>6019.20528384235</v>
      </c>
      <c r="M143" s="38" t="str">
        <f aca="false">IF(F143&gt;365,"LTCG","STCG")</f>
        <v>LTCG</v>
      </c>
      <c r="N143" s="48" t="n">
        <f aca="false">IF(M143="LTCG",Assumptions!$C$12,Assumptions!$C$11)</f>
        <v>0.125</v>
      </c>
      <c r="O143" s="38" t="str">
        <f aca="false">IF(M143="STCG",MAX(L143,0)*Assumptions!$C$11,"agg. below")</f>
        <v>agg. below</v>
      </c>
    </row>
    <row r="144" customFormat="false" ht="15" hidden="false" customHeight="false" outlineLevel="1" collapsed="false">
      <c r="A144" s="33" t="str">
        <f aca="false">TEXT(SIP_Fund1_PPFAS!B17,"mmm-yyyy")</f>
        <v>Jan-2026</v>
      </c>
      <c r="B144" s="34" t="n">
        <f aca="false">SIP_Fund1_PPFAS!B17</f>
        <v>46023</v>
      </c>
      <c r="C144" s="35" t="n">
        <f aca="false">SIP_Fund1_PPFAS!C17</f>
        <v>4000</v>
      </c>
      <c r="D144" s="36" t="n">
        <f aca="false">SIP_Fund1_PPFAS!H17</f>
        <v>78.036</v>
      </c>
      <c r="E144" s="37" t="n">
        <f aca="false">SIP_Fund1_PPFAS!I17</f>
        <v>51.2583935619458</v>
      </c>
      <c r="F144" s="33" t="n">
        <f aca="false">Assumptions!$C$5-B144</f>
        <v>3666</v>
      </c>
      <c r="G144" s="36" t="n">
        <f aca="false">Assumptions!$D$20*(1+Assumptions!$F$20)^((Assumptions!$C$5-Assumptions!$C$4)/365)</f>
        <v>232.452118359096</v>
      </c>
      <c r="H144" s="35" t="n">
        <f aca="false">E144*G144</f>
        <v>11915.1221671585</v>
      </c>
      <c r="I144" s="47" t="n">
        <f aca="false">IF(F144&lt;365,Assumptions!$G$20,IF(F144&lt;=730,Assumptions!$H$20,Assumptions!$I$20))</f>
        <v>0</v>
      </c>
      <c r="J144" s="35" t="n">
        <f aca="false">H144*I144</f>
        <v>0</v>
      </c>
      <c r="K144" s="35" t="n">
        <f aca="false">H144-J144</f>
        <v>11915.1221671585</v>
      </c>
      <c r="L144" s="35" t="n">
        <f aca="false">K144-C144</f>
        <v>7915.12216715853</v>
      </c>
      <c r="M144" s="33" t="str">
        <f aca="false">IF(F144&gt;365,"LTCG","STCG")</f>
        <v>LTCG</v>
      </c>
      <c r="N144" s="47" t="n">
        <f aca="false">IF(M144="LTCG",Assumptions!$C$12,Assumptions!$C$11)</f>
        <v>0.125</v>
      </c>
      <c r="O144" s="33" t="str">
        <f aca="false">IF(M144="STCG",MAX(L144,0)*Assumptions!$C$11,"agg. below")</f>
        <v>agg. below</v>
      </c>
    </row>
    <row r="145" customFormat="false" ht="15" hidden="false" customHeight="false" outlineLevel="1" collapsed="false">
      <c r="A145" s="38" t="str">
        <f aca="false">TEXT(SIP_Fund1_PPFAS!B18,"mmm-yyyy")</f>
        <v>Feb-2026</v>
      </c>
      <c r="B145" s="39" t="n">
        <f aca="false">SIP_Fund1_PPFAS!B18</f>
        <v>46054</v>
      </c>
      <c r="C145" s="40" t="n">
        <f aca="false">SIP_Fund1_PPFAS!C18</f>
        <v>4000</v>
      </c>
      <c r="D145" s="41" t="n">
        <f aca="false">SIP_Fund1_PPFAS!H18</f>
        <v>78.7596013039472</v>
      </c>
      <c r="E145" s="42" t="n">
        <f aca="false">SIP_Fund1_PPFAS!I18</f>
        <v>50.7874587196461</v>
      </c>
      <c r="F145" s="38" t="n">
        <f aca="false">Assumptions!$C$5-B145</f>
        <v>3635</v>
      </c>
      <c r="G145" s="41" t="n">
        <f aca="false">Assumptions!$D$20*(1+Assumptions!$F$20)^((Assumptions!$C$5-Assumptions!$C$4)/365)</f>
        <v>232.452118359096</v>
      </c>
      <c r="H145" s="40" t="n">
        <f aca="false">E145*G145</f>
        <v>11805.6523654569</v>
      </c>
      <c r="I145" s="48" t="n">
        <f aca="false">IF(F145&lt;365,Assumptions!$G$20,IF(F145&lt;=730,Assumptions!$H$20,Assumptions!$I$20))</f>
        <v>0</v>
      </c>
      <c r="J145" s="40" t="n">
        <f aca="false">H145*I145</f>
        <v>0</v>
      </c>
      <c r="K145" s="40" t="n">
        <f aca="false">H145-J145</f>
        <v>11805.6523654569</v>
      </c>
      <c r="L145" s="40" t="n">
        <f aca="false">K145-C145</f>
        <v>7805.65236545686</v>
      </c>
      <c r="M145" s="38" t="str">
        <f aca="false">IF(F145&gt;365,"LTCG","STCG")</f>
        <v>LTCG</v>
      </c>
      <c r="N145" s="48" t="n">
        <f aca="false">IF(M145="LTCG",Assumptions!$C$12,Assumptions!$C$11)</f>
        <v>0.125</v>
      </c>
      <c r="O145" s="38" t="str">
        <f aca="false">IF(M145="STCG",MAX(L145,0)*Assumptions!$C$11,"agg. below")</f>
        <v>agg. below</v>
      </c>
    </row>
    <row r="146" customFormat="false" ht="15" hidden="false" customHeight="false" outlineLevel="1" collapsed="false">
      <c r="A146" s="33" t="str">
        <f aca="false">TEXT(SIP_Fund1_PPFAS!B19,"mmm-yyyy")</f>
        <v>Mar-2026</v>
      </c>
      <c r="B146" s="34" t="n">
        <f aca="false">SIP_Fund1_PPFAS!B19</f>
        <v>46082</v>
      </c>
      <c r="C146" s="35" t="n">
        <f aca="false">SIP_Fund1_PPFAS!C19</f>
        <v>4000</v>
      </c>
      <c r="D146" s="36" t="n">
        <f aca="false">SIP_Fund1_PPFAS!H19</f>
        <v>79.4189420925357</v>
      </c>
      <c r="E146" s="37" t="n">
        <f aca="false">SIP_Fund1_PPFAS!I19</f>
        <v>50.3658182117229</v>
      </c>
      <c r="F146" s="33" t="n">
        <f aca="false">Assumptions!$C$5-B146</f>
        <v>3607</v>
      </c>
      <c r="G146" s="36" t="n">
        <f aca="false">Assumptions!$D$20*(1+Assumptions!$F$20)^((Assumptions!$C$5-Assumptions!$C$4)/365)</f>
        <v>232.452118359096</v>
      </c>
      <c r="H146" s="35" t="n">
        <f aca="false">E146*G146</f>
        <v>11707.6411362041</v>
      </c>
      <c r="I146" s="47" t="n">
        <f aca="false">IF(F146&lt;365,Assumptions!$G$20,IF(F146&lt;=730,Assumptions!$H$20,Assumptions!$I$20))</f>
        <v>0</v>
      </c>
      <c r="J146" s="35" t="n">
        <f aca="false">H146*I146</f>
        <v>0</v>
      </c>
      <c r="K146" s="35" t="n">
        <f aca="false">H146-J146</f>
        <v>11707.6411362041</v>
      </c>
      <c r="L146" s="35" t="n">
        <f aca="false">K146-C146</f>
        <v>7707.6411362041</v>
      </c>
      <c r="M146" s="33" t="str">
        <f aca="false">IF(F146&gt;365,"LTCG","STCG")</f>
        <v>LTCG</v>
      </c>
      <c r="N146" s="47" t="n">
        <f aca="false">IF(M146="LTCG",Assumptions!$C$12,Assumptions!$C$11)</f>
        <v>0.125</v>
      </c>
      <c r="O146" s="33" t="str">
        <f aca="false">IF(M146="STCG",MAX(L146,0)*Assumptions!$C$11,"agg. below")</f>
        <v>agg. below</v>
      </c>
    </row>
    <row r="147" customFormat="false" ht="15" hidden="false" customHeight="false" outlineLevel="1" collapsed="false">
      <c r="A147" s="38" t="str">
        <f aca="false">TEXT(SIP_Fund1_PPFAS!B20,"mmm-yyyy")</f>
        <v>Apr-2026</v>
      </c>
      <c r="B147" s="39" t="n">
        <f aca="false">SIP_Fund1_PPFAS!B20</f>
        <v>46113</v>
      </c>
      <c r="C147" s="40" t="n">
        <f aca="false">SIP_Fund1_PPFAS!C20</f>
        <v>4000</v>
      </c>
      <c r="D147" s="41" t="n">
        <f aca="false">SIP_Fund1_PPFAS!H20</f>
        <v>80.1553669484518</v>
      </c>
      <c r="E147" s="42" t="n">
        <f aca="false">SIP_Fund1_PPFAS!I20</f>
        <v>49.9030838767467</v>
      </c>
      <c r="F147" s="38" t="n">
        <f aca="false">Assumptions!$C$5-B147</f>
        <v>3576</v>
      </c>
      <c r="G147" s="41" t="n">
        <f aca="false">Assumptions!$D$20*(1+Assumptions!$F$20)^((Assumptions!$C$5-Assumptions!$C$4)/365)</f>
        <v>232.452118359096</v>
      </c>
      <c r="H147" s="40" t="n">
        <f aca="false">E147*G147</f>
        <v>11600.0775598014</v>
      </c>
      <c r="I147" s="48" t="n">
        <f aca="false">IF(F147&lt;365,Assumptions!$G$20,IF(F147&lt;=730,Assumptions!$H$20,Assumptions!$I$20))</f>
        <v>0</v>
      </c>
      <c r="J147" s="40" t="n">
        <f aca="false">H147*I147</f>
        <v>0</v>
      </c>
      <c r="K147" s="40" t="n">
        <f aca="false">H147-J147</f>
        <v>11600.0775598014</v>
      </c>
      <c r="L147" s="40" t="n">
        <f aca="false">K147-C147</f>
        <v>7600.07755980141</v>
      </c>
      <c r="M147" s="38" t="str">
        <f aca="false">IF(F147&gt;365,"LTCG","STCG")</f>
        <v>LTCG</v>
      </c>
      <c r="N147" s="48" t="n">
        <f aca="false">IF(M147="LTCG",Assumptions!$C$12,Assumptions!$C$11)</f>
        <v>0.125</v>
      </c>
      <c r="O147" s="38" t="str">
        <f aca="false">IF(M147="STCG",MAX(L147,0)*Assumptions!$C$11,"agg. below")</f>
        <v>agg. below</v>
      </c>
    </row>
    <row r="148" customFormat="false" ht="15" hidden="false" customHeight="false" outlineLevel="1" collapsed="false">
      <c r="A148" s="33" t="str">
        <f aca="false">TEXT(SIP_Fund1_PPFAS!B21,"mmm-yyyy")</f>
        <v>May-2026</v>
      </c>
      <c r="B148" s="34" t="n">
        <f aca="false">SIP_Fund1_PPFAS!B21</f>
        <v>46143</v>
      </c>
      <c r="C148" s="35" t="n">
        <f aca="false">SIP_Fund1_PPFAS!C21</f>
        <v>4000</v>
      </c>
      <c r="D148" s="36" t="n">
        <f aca="false">SIP_Fund1_PPFAS!H21</f>
        <v>80.8745372704181</v>
      </c>
      <c r="E148" s="37" t="n">
        <f aca="false">SIP_Fund1_PPFAS!I21</f>
        <v>49.4593247145922</v>
      </c>
      <c r="F148" s="33" t="n">
        <f aca="false">Assumptions!$C$5-B148</f>
        <v>3546</v>
      </c>
      <c r="G148" s="36" t="n">
        <f aca="false">Assumptions!$D$20*(1+Assumptions!$F$20)^((Assumptions!$C$5-Assumptions!$C$4)/365)</f>
        <v>232.452118359096</v>
      </c>
      <c r="H148" s="35" t="n">
        <f aca="false">E148*G148</f>
        <v>11496.9248025173</v>
      </c>
      <c r="I148" s="47" t="n">
        <f aca="false">IF(F148&lt;365,Assumptions!$G$20,IF(F148&lt;=730,Assumptions!$H$20,Assumptions!$I$20))</f>
        <v>0</v>
      </c>
      <c r="J148" s="35" t="n">
        <f aca="false">H148*I148</f>
        <v>0</v>
      </c>
      <c r="K148" s="35" t="n">
        <f aca="false">H148-J148</f>
        <v>11496.9248025173</v>
      </c>
      <c r="L148" s="35" t="n">
        <f aca="false">K148-C148</f>
        <v>7496.92480251734</v>
      </c>
      <c r="M148" s="33" t="str">
        <f aca="false">IF(F148&gt;365,"LTCG","STCG")</f>
        <v>LTCG</v>
      </c>
      <c r="N148" s="47" t="n">
        <f aca="false">IF(M148="LTCG",Assumptions!$C$12,Assumptions!$C$11)</f>
        <v>0.125</v>
      </c>
      <c r="O148" s="33" t="str">
        <f aca="false">IF(M148="STCG",MAX(L148,0)*Assumptions!$C$11,"agg. below")</f>
        <v>agg. below</v>
      </c>
    </row>
    <row r="149" customFormat="false" ht="15" hidden="false" customHeight="false" outlineLevel="1" collapsed="false">
      <c r="A149" s="38" t="str">
        <f aca="false">TEXT(SIP_Fund1_PPFAS!B22,"mmm-yyyy")</f>
        <v>Jun-2026</v>
      </c>
      <c r="B149" s="39" t="n">
        <f aca="false">SIP_Fund1_PPFAS!B22</f>
        <v>46174</v>
      </c>
      <c r="C149" s="40" t="n">
        <f aca="false">SIP_Fund1_PPFAS!C22</f>
        <v>4000</v>
      </c>
      <c r="D149" s="41" t="n">
        <f aca="false">SIP_Fund1_PPFAS!H22</f>
        <v>81.624459365669</v>
      </c>
      <c r="E149" s="42" t="n">
        <f aca="false">SIP_Fund1_PPFAS!I22</f>
        <v>49.0049187594667</v>
      </c>
      <c r="F149" s="38" t="n">
        <f aca="false">Assumptions!$C$5-B149</f>
        <v>3515</v>
      </c>
      <c r="G149" s="41" t="n">
        <f aca="false">Assumptions!$D$20*(1+Assumptions!$F$20)^((Assumptions!$C$5-Assumptions!$C$4)/365)</f>
        <v>232.452118359096</v>
      </c>
      <c r="H149" s="40" t="n">
        <f aca="false">E149*G149</f>
        <v>11391.2971756534</v>
      </c>
      <c r="I149" s="48" t="n">
        <f aca="false">IF(F149&lt;365,Assumptions!$G$20,IF(F149&lt;=730,Assumptions!$H$20,Assumptions!$I$20))</f>
        <v>0</v>
      </c>
      <c r="J149" s="40" t="n">
        <f aca="false">H149*I149</f>
        <v>0</v>
      </c>
      <c r="K149" s="40" t="n">
        <f aca="false">H149-J149</f>
        <v>11391.2971756534</v>
      </c>
      <c r="L149" s="40" t="n">
        <f aca="false">K149-C149</f>
        <v>7391.29717565342</v>
      </c>
      <c r="M149" s="38" t="str">
        <f aca="false">IF(F149&gt;365,"LTCG","STCG")</f>
        <v>LTCG</v>
      </c>
      <c r="N149" s="48" t="n">
        <f aca="false">IF(M149="LTCG",Assumptions!$C$12,Assumptions!$C$11)</f>
        <v>0.125</v>
      </c>
      <c r="O149" s="38" t="str">
        <f aca="false">IF(M149="STCG",MAX(L149,0)*Assumptions!$C$11,"agg. below")</f>
        <v>agg. below</v>
      </c>
    </row>
    <row r="150" customFormat="false" ht="15" hidden="false" customHeight="false" outlineLevel="1" collapsed="false">
      <c r="A150" s="33" t="str">
        <f aca="false">TEXT(SIP_Fund1_PPFAS!B23,"mmm-yyyy")</f>
        <v>Jul-2026</v>
      </c>
      <c r="B150" s="34" t="n">
        <f aca="false">SIP_Fund1_PPFAS!B23</f>
        <v>46204</v>
      </c>
      <c r="C150" s="35" t="n">
        <f aca="false">SIP_Fund1_PPFAS!C23</f>
        <v>4000</v>
      </c>
      <c r="D150" s="36" t="n">
        <f aca="false">SIP_Fund1_PPFAS!H23</f>
        <v>82.3568106848276</v>
      </c>
      <c r="E150" s="37" t="n">
        <f aca="false">SIP_Fund1_PPFAS!I23</f>
        <v>48.5691464584229</v>
      </c>
      <c r="F150" s="33" t="n">
        <f aca="false">Assumptions!$C$5-B150</f>
        <v>3485</v>
      </c>
      <c r="G150" s="36" t="n">
        <f aca="false">Assumptions!$D$20*(1+Assumptions!$F$20)^((Assumptions!$C$5-Assumptions!$C$4)/365)</f>
        <v>232.452118359096</v>
      </c>
      <c r="H150" s="35" t="n">
        <f aca="false">E150*G150</f>
        <v>11290.0009811536</v>
      </c>
      <c r="I150" s="47" t="n">
        <f aca="false">IF(F150&lt;365,Assumptions!$G$20,IF(F150&lt;=730,Assumptions!$H$20,Assumptions!$I$20))</f>
        <v>0</v>
      </c>
      <c r="J150" s="35" t="n">
        <f aca="false">H150*I150</f>
        <v>0</v>
      </c>
      <c r="K150" s="35" t="n">
        <f aca="false">H150-J150</f>
        <v>11290.0009811536</v>
      </c>
      <c r="L150" s="35" t="n">
        <f aca="false">K150-C150</f>
        <v>7290.00098115358</v>
      </c>
      <c r="M150" s="33" t="str">
        <f aca="false">IF(F150&gt;365,"LTCG","STCG")</f>
        <v>LTCG</v>
      </c>
      <c r="N150" s="47" t="n">
        <f aca="false">IF(M150="LTCG",Assumptions!$C$12,Assumptions!$C$11)</f>
        <v>0.125</v>
      </c>
      <c r="O150" s="33" t="str">
        <f aca="false">IF(M150="STCG",MAX(L150,0)*Assumptions!$C$11,"agg. below")</f>
        <v>agg. below</v>
      </c>
    </row>
    <row r="151" customFormat="false" ht="15" hidden="false" customHeight="false" outlineLevel="1" collapsed="false">
      <c r="A151" s="38" t="str">
        <f aca="false">TEXT(SIP_Fund1_PPFAS!B24,"mmm-yyyy")</f>
        <v>Aug-2026</v>
      </c>
      <c r="B151" s="39" t="n">
        <f aca="false">SIP_Fund1_PPFAS!B24</f>
        <v>46235</v>
      </c>
      <c r="C151" s="40" t="n">
        <f aca="false">SIP_Fund1_PPFAS!C24</f>
        <v>4000</v>
      </c>
      <c r="D151" s="41" t="n">
        <f aca="false">SIP_Fund1_PPFAS!H24</f>
        <v>83.1204773976329</v>
      </c>
      <c r="E151" s="42" t="n">
        <f aca="false">SIP_Fund1_PPFAS!I24</f>
        <v>48.1229189873964</v>
      </c>
      <c r="F151" s="38" t="n">
        <f aca="false">Assumptions!$C$5-B151</f>
        <v>3454</v>
      </c>
      <c r="G151" s="41" t="n">
        <f aca="false">Assumptions!$D$20*(1+Assumptions!$F$20)^((Assumptions!$C$5-Assumptions!$C$4)/365)</f>
        <v>232.452118359096</v>
      </c>
      <c r="H151" s="40" t="n">
        <f aca="false">E151*G151</f>
        <v>11186.2744602434</v>
      </c>
      <c r="I151" s="48" t="n">
        <f aca="false">IF(F151&lt;365,Assumptions!$G$20,IF(F151&lt;=730,Assumptions!$H$20,Assumptions!$I$20))</f>
        <v>0</v>
      </c>
      <c r="J151" s="40" t="n">
        <f aca="false">H151*I151</f>
        <v>0</v>
      </c>
      <c r="K151" s="40" t="n">
        <f aca="false">H151-J151</f>
        <v>11186.2744602434</v>
      </c>
      <c r="L151" s="40" t="n">
        <f aca="false">K151-C151</f>
        <v>7186.27446024344</v>
      </c>
      <c r="M151" s="38" t="str">
        <f aca="false">IF(F151&gt;365,"LTCG","STCG")</f>
        <v>LTCG</v>
      </c>
      <c r="N151" s="48" t="n">
        <f aca="false">IF(M151="LTCG",Assumptions!$C$12,Assumptions!$C$11)</f>
        <v>0.125</v>
      </c>
      <c r="O151" s="38" t="str">
        <f aca="false">IF(M151="STCG",MAX(L151,0)*Assumptions!$C$11,"agg. below")</f>
        <v>agg. below</v>
      </c>
    </row>
    <row r="152" customFormat="false" ht="15" hidden="false" customHeight="false" outlineLevel="1" collapsed="false">
      <c r="A152" s="33" t="str">
        <f aca="false">TEXT(SIP_Fund1_PPFAS!B25,"mmm-yyyy")</f>
        <v>Sep-2026</v>
      </c>
      <c r="B152" s="34" t="n">
        <f aca="false">SIP_Fund1_PPFAS!B25</f>
        <v>46266</v>
      </c>
      <c r="C152" s="35" t="n">
        <f aca="false">SIP_Fund1_PPFAS!C25</f>
        <v>4000</v>
      </c>
      <c r="D152" s="36" t="n">
        <f aca="false">SIP_Fund1_PPFAS!H25</f>
        <v>83.8912253322994</v>
      </c>
      <c r="E152" s="37" t="n">
        <f aca="false">SIP_Fund1_PPFAS!I25</f>
        <v>47.6807912169086</v>
      </c>
      <c r="F152" s="33" t="n">
        <f aca="false">Assumptions!$C$5-B152</f>
        <v>3423</v>
      </c>
      <c r="G152" s="36" t="n">
        <f aca="false">Assumptions!$D$20*(1+Assumptions!$F$20)^((Assumptions!$C$5-Assumptions!$C$4)/365)</f>
        <v>232.452118359096</v>
      </c>
      <c r="H152" s="35" t="n">
        <f aca="false">E152*G152</f>
        <v>11083.5009234082</v>
      </c>
      <c r="I152" s="47" t="n">
        <f aca="false">IF(F152&lt;365,Assumptions!$G$20,IF(F152&lt;=730,Assumptions!$H$20,Assumptions!$I$20))</f>
        <v>0</v>
      </c>
      <c r="J152" s="35" t="n">
        <f aca="false">H152*I152</f>
        <v>0</v>
      </c>
      <c r="K152" s="35" t="n">
        <f aca="false">H152-J152</f>
        <v>11083.5009234082</v>
      </c>
      <c r="L152" s="35" t="n">
        <f aca="false">K152-C152</f>
        <v>7083.50092340816</v>
      </c>
      <c r="M152" s="33" t="str">
        <f aca="false">IF(F152&gt;365,"LTCG","STCG")</f>
        <v>LTCG</v>
      </c>
      <c r="N152" s="47" t="n">
        <f aca="false">IF(M152="LTCG",Assumptions!$C$12,Assumptions!$C$11)</f>
        <v>0.125</v>
      </c>
      <c r="O152" s="33" t="str">
        <f aca="false">IF(M152="STCG",MAX(L152,0)*Assumptions!$C$11,"agg. below")</f>
        <v>agg. below</v>
      </c>
    </row>
    <row r="153" customFormat="false" ht="15" hidden="false" customHeight="false" outlineLevel="1" collapsed="false">
      <c r="A153" s="38" t="str">
        <f aca="false">TEXT(SIP_Fund1_PPFAS!B26,"mmm-yyyy")</f>
        <v>Oct-2026</v>
      </c>
      <c r="B153" s="39" t="n">
        <f aca="false">SIP_Fund1_PPFAS!B26</f>
        <v>46296</v>
      </c>
      <c r="C153" s="40" t="n">
        <f aca="false">SIP_Fund1_PPFAS!C26</f>
        <v>4000</v>
      </c>
      <c r="D153" s="41" t="n">
        <f aca="false">SIP_Fund1_PPFAS!H26</f>
        <v>84.6439145386402</v>
      </c>
      <c r="E153" s="42" t="n">
        <f aca="false">SIP_Fund1_PPFAS!I26</f>
        <v>47.2567936136034</v>
      </c>
      <c r="F153" s="38" t="n">
        <f aca="false">Assumptions!$C$5-B153</f>
        <v>3393</v>
      </c>
      <c r="G153" s="41" t="n">
        <f aca="false">Assumptions!$D$20*(1+Assumptions!$F$20)^((Assumptions!$C$5-Assumptions!$C$4)/365)</f>
        <v>232.452118359096</v>
      </c>
      <c r="H153" s="40" t="n">
        <f aca="false">E153*G153</f>
        <v>10984.9417823407</v>
      </c>
      <c r="I153" s="48" t="n">
        <f aca="false">IF(F153&lt;365,Assumptions!$G$20,IF(F153&lt;=730,Assumptions!$H$20,Assumptions!$I$20))</f>
        <v>0</v>
      </c>
      <c r="J153" s="40" t="n">
        <f aca="false">H153*I153</f>
        <v>0</v>
      </c>
      <c r="K153" s="40" t="n">
        <f aca="false">H153-J153</f>
        <v>10984.9417823407</v>
      </c>
      <c r="L153" s="40" t="n">
        <f aca="false">K153-C153</f>
        <v>6984.94178234069</v>
      </c>
      <c r="M153" s="38" t="str">
        <f aca="false">IF(F153&gt;365,"LTCG","STCG")</f>
        <v>LTCG</v>
      </c>
      <c r="N153" s="48" t="n">
        <f aca="false">IF(M153="LTCG",Assumptions!$C$12,Assumptions!$C$11)</f>
        <v>0.125</v>
      </c>
      <c r="O153" s="38" t="str">
        <f aca="false">IF(M153="STCG",MAX(L153,0)*Assumptions!$C$11,"agg. below")</f>
        <v>agg. below</v>
      </c>
    </row>
    <row r="154" customFormat="false" ht="15" hidden="false" customHeight="false" outlineLevel="1" collapsed="false">
      <c r="A154" s="33" t="str">
        <f aca="false">TEXT(SIP_Fund1_PPFAS!B27,"mmm-yyyy")</f>
        <v>Nov-2026</v>
      </c>
      <c r="B154" s="34" t="n">
        <f aca="false">SIP_Fund1_PPFAS!B27</f>
        <v>46327</v>
      </c>
      <c r="C154" s="35" t="n">
        <f aca="false">SIP_Fund1_PPFAS!C27</f>
        <v>4000</v>
      </c>
      <c r="D154" s="36" t="n">
        <f aca="false">SIP_Fund1_PPFAS!H27</f>
        <v>85.4287887881065</v>
      </c>
      <c r="E154" s="37" t="n">
        <f aca="false">SIP_Fund1_PPFAS!I27</f>
        <v>46.8226233421313</v>
      </c>
      <c r="F154" s="33" t="n">
        <f aca="false">Assumptions!$C$5-B154</f>
        <v>3362</v>
      </c>
      <c r="G154" s="36" t="n">
        <f aca="false">Assumptions!$D$20*(1+Assumptions!$F$20)^((Assumptions!$C$5-Assumptions!$C$4)/365)</f>
        <v>232.452118359096</v>
      </c>
      <c r="H154" s="35" t="n">
        <f aca="false">E154*G154</f>
        <v>10884.0179830085</v>
      </c>
      <c r="I154" s="47" t="n">
        <f aca="false">IF(F154&lt;365,Assumptions!$G$20,IF(F154&lt;=730,Assumptions!$H$20,Assumptions!$I$20))</f>
        <v>0</v>
      </c>
      <c r="J154" s="35" t="n">
        <f aca="false">H154*I154</f>
        <v>0</v>
      </c>
      <c r="K154" s="35" t="n">
        <f aca="false">H154-J154</f>
        <v>10884.0179830085</v>
      </c>
      <c r="L154" s="35" t="n">
        <f aca="false">K154-C154</f>
        <v>6884.01798300846</v>
      </c>
      <c r="M154" s="33" t="str">
        <f aca="false">IF(F154&gt;365,"LTCG","STCG")</f>
        <v>LTCG</v>
      </c>
      <c r="N154" s="47" t="n">
        <f aca="false">IF(M154="LTCG",Assumptions!$C$12,Assumptions!$C$11)</f>
        <v>0.125</v>
      </c>
      <c r="O154" s="33" t="str">
        <f aca="false">IF(M154="STCG",MAX(L154,0)*Assumptions!$C$11,"agg. below")</f>
        <v>agg. below</v>
      </c>
    </row>
    <row r="155" customFormat="false" ht="15" hidden="false" customHeight="false" outlineLevel="1" collapsed="false">
      <c r="A155" s="38" t="str">
        <f aca="false">TEXT(SIP_Fund1_PPFAS!B28,"mmm-yyyy")</f>
        <v>Dec-2026</v>
      </c>
      <c r="B155" s="39" t="n">
        <f aca="false">SIP_Fund1_PPFAS!B28</f>
        <v>46357</v>
      </c>
      <c r="C155" s="40" t="n">
        <f aca="false">SIP_Fund1_PPFAS!C28</f>
        <v>4000</v>
      </c>
      <c r="D155" s="41" t="n">
        <f aca="false">SIP_Fund1_PPFAS!H28</f>
        <v>86.1952733277812</v>
      </c>
      <c r="E155" s="42" t="n">
        <f aca="false">SIP_Fund1_PPFAS!I28</f>
        <v>46.4062569276728</v>
      </c>
      <c r="F155" s="38" t="n">
        <f aca="false">Assumptions!$C$5-B155</f>
        <v>3332</v>
      </c>
      <c r="G155" s="41" t="n">
        <f aca="false">Assumptions!$D$20*(1+Assumptions!$F$20)^((Assumptions!$C$5-Assumptions!$C$4)/365)</f>
        <v>232.452118359096</v>
      </c>
      <c r="H155" s="40" t="n">
        <f aca="false">E155*G155</f>
        <v>10787.232727954</v>
      </c>
      <c r="I155" s="48" t="n">
        <f aca="false">IF(F155&lt;365,Assumptions!$G$20,IF(F155&lt;=730,Assumptions!$H$20,Assumptions!$I$20))</f>
        <v>0</v>
      </c>
      <c r="J155" s="40" t="n">
        <f aca="false">H155*I155</f>
        <v>0</v>
      </c>
      <c r="K155" s="40" t="n">
        <f aca="false">H155-J155</f>
        <v>10787.232727954</v>
      </c>
      <c r="L155" s="40" t="n">
        <f aca="false">K155-C155</f>
        <v>6787.23272795402</v>
      </c>
      <c r="M155" s="38" t="str">
        <f aca="false">IF(F155&gt;365,"LTCG","STCG")</f>
        <v>LTCG</v>
      </c>
      <c r="N155" s="48" t="n">
        <f aca="false">IF(M155="LTCG",Assumptions!$C$12,Assumptions!$C$11)</f>
        <v>0.125</v>
      </c>
      <c r="O155" s="38" t="str">
        <f aca="false">IF(M155="STCG",MAX(L155,0)*Assumptions!$C$11,"agg. below")</f>
        <v>agg. below</v>
      </c>
    </row>
    <row r="156" customFormat="false" ht="15" hidden="false" customHeight="false" outlineLevel="1" collapsed="false">
      <c r="A156" s="33" t="str">
        <f aca="false">TEXT(SIP_Fund1_PPFAS!B29,"mmm-yyyy")</f>
        <v>Jan-2027</v>
      </c>
      <c r="B156" s="34" t="n">
        <f aca="false">SIP_Fund1_PPFAS!B29</f>
        <v>46388</v>
      </c>
      <c r="C156" s="35" t="n">
        <f aca="false">SIP_Fund1_PPFAS!C29</f>
        <v>5000</v>
      </c>
      <c r="D156" s="36" t="n">
        <f aca="false">SIP_Fund1_PPFAS!H29</f>
        <v>86.9945328</v>
      </c>
      <c r="E156" s="37" t="n">
        <f aca="false">SIP_Fund1_PPFAS!I29</f>
        <v>57.4748761683102</v>
      </c>
      <c r="F156" s="33" t="n">
        <f aca="false">Assumptions!$C$5-B156</f>
        <v>3301</v>
      </c>
      <c r="G156" s="36" t="n">
        <f aca="false">Assumptions!$D$20*(1+Assumptions!$F$20)^((Assumptions!$C$5-Assumptions!$C$4)/365)</f>
        <v>232.452118359096</v>
      </c>
      <c r="H156" s="35" t="n">
        <f aca="false">E156*G156</f>
        <v>13360.1567177504</v>
      </c>
      <c r="I156" s="47" t="n">
        <f aca="false">IF(F156&lt;365,Assumptions!$G$20,IF(F156&lt;=730,Assumptions!$H$20,Assumptions!$I$20))</f>
        <v>0</v>
      </c>
      <c r="J156" s="35" t="n">
        <f aca="false">H156*I156</f>
        <v>0</v>
      </c>
      <c r="K156" s="35" t="n">
        <f aca="false">H156-J156</f>
        <v>13360.1567177504</v>
      </c>
      <c r="L156" s="35" t="n">
        <f aca="false">K156-C156</f>
        <v>8360.15671775042</v>
      </c>
      <c r="M156" s="33" t="str">
        <f aca="false">IF(F156&gt;365,"LTCG","STCG")</f>
        <v>LTCG</v>
      </c>
      <c r="N156" s="47" t="n">
        <f aca="false">IF(M156="LTCG",Assumptions!$C$12,Assumptions!$C$11)</f>
        <v>0.125</v>
      </c>
      <c r="O156" s="33" t="str">
        <f aca="false">IF(M156="STCG",MAX(L156,0)*Assumptions!$C$11,"agg. below")</f>
        <v>agg. below</v>
      </c>
    </row>
    <row r="157" customFormat="false" ht="15" hidden="false" customHeight="false" outlineLevel="1" collapsed="false">
      <c r="A157" s="38" t="str">
        <f aca="false">TEXT(SIP_Fund1_PPFAS!B30,"mmm-yyyy")</f>
        <v>Feb-2027</v>
      </c>
      <c r="B157" s="39" t="n">
        <f aca="false">SIP_Fund1_PPFAS!B30</f>
        <v>46419</v>
      </c>
      <c r="C157" s="40" t="n">
        <f aca="false">SIP_Fund1_PPFAS!C30</f>
        <v>5000</v>
      </c>
      <c r="D157" s="41" t="n">
        <f aca="false">SIP_Fund1_PPFAS!H30</f>
        <v>87.8012035336403</v>
      </c>
      <c r="E157" s="42" t="n">
        <f aca="false">SIP_Fund1_PPFAS!I30</f>
        <v>56.9468275919964</v>
      </c>
      <c r="F157" s="38" t="n">
        <f aca="false">Assumptions!$C$5-B157</f>
        <v>3270</v>
      </c>
      <c r="G157" s="41" t="n">
        <f aca="false">Assumptions!$D$20*(1+Assumptions!$F$20)^((Assumptions!$C$5-Assumptions!$C$4)/365)</f>
        <v>232.452118359096</v>
      </c>
      <c r="H157" s="40" t="n">
        <f aca="false">E157*G157</f>
        <v>13237.4107075898</v>
      </c>
      <c r="I157" s="48" t="n">
        <f aca="false">IF(F157&lt;365,Assumptions!$G$20,IF(F157&lt;=730,Assumptions!$H$20,Assumptions!$I$20))</f>
        <v>0</v>
      </c>
      <c r="J157" s="40" t="n">
        <f aca="false">H157*I157</f>
        <v>0</v>
      </c>
      <c r="K157" s="40" t="n">
        <f aca="false">H157-J157</f>
        <v>13237.4107075898</v>
      </c>
      <c r="L157" s="40" t="n">
        <f aca="false">K157-C157</f>
        <v>8237.41070758977</v>
      </c>
      <c r="M157" s="38" t="str">
        <f aca="false">IF(F157&gt;365,"LTCG","STCG")</f>
        <v>LTCG</v>
      </c>
      <c r="N157" s="48" t="n">
        <f aca="false">IF(M157="LTCG",Assumptions!$C$12,Assumptions!$C$11)</f>
        <v>0.125</v>
      </c>
      <c r="O157" s="38" t="str">
        <f aca="false">IF(M157="STCG",MAX(L157,0)*Assumptions!$C$11,"agg. below")</f>
        <v>agg. below</v>
      </c>
    </row>
    <row r="158" customFormat="false" ht="15" hidden="false" customHeight="false" outlineLevel="1" collapsed="false">
      <c r="A158" s="33" t="str">
        <f aca="false">TEXT(SIP_Fund1_PPFAS!B31,"mmm-yyyy")</f>
        <v>Mar-2027</v>
      </c>
      <c r="B158" s="34" t="n">
        <f aca="false">SIP_Fund1_PPFAS!B31</f>
        <v>46447</v>
      </c>
      <c r="C158" s="35" t="n">
        <f aca="false">SIP_Fund1_PPFAS!C31</f>
        <v>5000</v>
      </c>
      <c r="D158" s="36" t="n">
        <f aca="false">SIP_Fund1_PPFAS!H31</f>
        <v>88.5362366447588</v>
      </c>
      <c r="E158" s="37" t="n">
        <f aca="false">SIP_Fund1_PPFAS!I31</f>
        <v>56.4740516367542</v>
      </c>
      <c r="F158" s="33" t="n">
        <f aca="false">Assumptions!$C$5-B158</f>
        <v>3242</v>
      </c>
      <c r="G158" s="36" t="n">
        <f aca="false">Assumptions!$D$20*(1+Assumptions!$F$20)^((Assumptions!$C$5-Assumptions!$C$4)/365)</f>
        <v>232.452118359096</v>
      </c>
      <c r="H158" s="35" t="n">
        <f aca="false">E158*G158</f>
        <v>13127.5129352845</v>
      </c>
      <c r="I158" s="47" t="n">
        <f aca="false">IF(F158&lt;365,Assumptions!$G$20,IF(F158&lt;=730,Assumptions!$H$20,Assumptions!$I$20))</f>
        <v>0</v>
      </c>
      <c r="J158" s="35" t="n">
        <f aca="false">H158*I158</f>
        <v>0</v>
      </c>
      <c r="K158" s="35" t="n">
        <f aca="false">H158-J158</f>
        <v>13127.5129352845</v>
      </c>
      <c r="L158" s="35" t="n">
        <f aca="false">K158-C158</f>
        <v>8127.51293528447</v>
      </c>
      <c r="M158" s="33" t="str">
        <f aca="false">IF(F158&gt;365,"LTCG","STCG")</f>
        <v>LTCG</v>
      </c>
      <c r="N158" s="47" t="n">
        <f aca="false">IF(M158="LTCG",Assumptions!$C$12,Assumptions!$C$11)</f>
        <v>0.125</v>
      </c>
      <c r="O158" s="33" t="str">
        <f aca="false">IF(M158="STCG",MAX(L158,0)*Assumptions!$C$11,"agg. below")</f>
        <v>agg. below</v>
      </c>
    </row>
    <row r="159" customFormat="false" ht="15" hidden="false" customHeight="false" outlineLevel="1" collapsed="false">
      <c r="A159" s="38" t="str">
        <f aca="false">TEXT(SIP_Fund1_PPFAS!B32,"mmm-yyyy")</f>
        <v>Apr-2027</v>
      </c>
      <c r="B159" s="39" t="n">
        <f aca="false">SIP_Fund1_PPFAS!B32</f>
        <v>46478</v>
      </c>
      <c r="C159" s="40" t="n">
        <f aca="false">SIP_Fund1_PPFAS!C32</f>
        <v>5000</v>
      </c>
      <c r="D159" s="41" t="n">
        <f aca="false">SIP_Fund1_PPFAS!H32</f>
        <v>89.357203074134</v>
      </c>
      <c r="E159" s="42" t="n">
        <f aca="false">SIP_Fund1_PPFAS!I32</f>
        <v>55.955198103636</v>
      </c>
      <c r="F159" s="38" t="n">
        <f aca="false">Assumptions!$C$5-B159</f>
        <v>3211</v>
      </c>
      <c r="G159" s="41" t="n">
        <f aca="false">Assumptions!$D$20*(1+Assumptions!$F$20)^((Assumptions!$C$5-Assumptions!$C$4)/365)</f>
        <v>232.452118359096</v>
      </c>
      <c r="H159" s="40" t="n">
        <f aca="false">E159*G159</f>
        <v>13006.904332393</v>
      </c>
      <c r="I159" s="48" t="n">
        <f aca="false">IF(F159&lt;365,Assumptions!$G$20,IF(F159&lt;=730,Assumptions!$H$20,Assumptions!$I$20))</f>
        <v>0</v>
      </c>
      <c r="J159" s="40" t="n">
        <f aca="false">H159*I159</f>
        <v>0</v>
      </c>
      <c r="K159" s="40" t="n">
        <f aca="false">H159-J159</f>
        <v>13006.904332393</v>
      </c>
      <c r="L159" s="40" t="n">
        <f aca="false">K159-C159</f>
        <v>8006.90433239304</v>
      </c>
      <c r="M159" s="38" t="str">
        <f aca="false">IF(F159&gt;365,"LTCG","STCG")</f>
        <v>LTCG</v>
      </c>
      <c r="N159" s="48" t="n">
        <f aca="false">IF(M159="LTCG",Assumptions!$C$12,Assumptions!$C$11)</f>
        <v>0.125</v>
      </c>
      <c r="O159" s="38" t="str">
        <f aca="false">IF(M159="STCG",MAX(L159,0)*Assumptions!$C$11,"agg. below")</f>
        <v>agg. below</v>
      </c>
    </row>
    <row r="160" customFormat="false" ht="15" hidden="false" customHeight="false" outlineLevel="1" collapsed="false">
      <c r="A160" s="33" t="str">
        <f aca="false">TEXT(SIP_Fund1_PPFAS!B33,"mmm-yyyy")</f>
        <v>May-2027</v>
      </c>
      <c r="B160" s="34" t="n">
        <f aca="false">SIP_Fund1_PPFAS!B33</f>
        <v>46508</v>
      </c>
      <c r="C160" s="35" t="n">
        <f aca="false">SIP_Fund1_PPFAS!C33</f>
        <v>5000</v>
      </c>
      <c r="D160" s="36" t="n">
        <f aca="false">SIP_Fund1_PPFAS!H33</f>
        <v>90.1589341490622</v>
      </c>
      <c r="E160" s="37" t="n">
        <f aca="false">SIP_Fund1_PPFAS!I33</f>
        <v>55.457621002189</v>
      </c>
      <c r="F160" s="33" t="n">
        <f aca="false">Assumptions!$C$5-B160</f>
        <v>3181</v>
      </c>
      <c r="G160" s="36" t="n">
        <f aca="false">Assumptions!$D$20*(1+Assumptions!$F$20)^((Assumptions!$C$5-Assumptions!$C$4)/365)</f>
        <v>232.452118359096</v>
      </c>
      <c r="H160" s="35" t="n">
        <f aca="false">E160*G160</f>
        <v>12891.2414811147</v>
      </c>
      <c r="I160" s="47" t="n">
        <f aca="false">IF(F160&lt;365,Assumptions!$G$20,IF(F160&lt;=730,Assumptions!$H$20,Assumptions!$I$20))</f>
        <v>0</v>
      </c>
      <c r="J160" s="35" t="n">
        <f aca="false">H160*I160</f>
        <v>0</v>
      </c>
      <c r="K160" s="35" t="n">
        <f aca="false">H160-J160</f>
        <v>12891.2414811147</v>
      </c>
      <c r="L160" s="35" t="n">
        <f aca="false">K160-C160</f>
        <v>7891.2414811147</v>
      </c>
      <c r="M160" s="33" t="str">
        <f aca="false">IF(F160&gt;365,"LTCG","STCG")</f>
        <v>LTCG</v>
      </c>
      <c r="N160" s="47" t="n">
        <f aca="false">IF(M160="LTCG",Assumptions!$C$12,Assumptions!$C$11)</f>
        <v>0.125</v>
      </c>
      <c r="O160" s="33" t="str">
        <f aca="false">IF(M160="STCG",MAX(L160,0)*Assumptions!$C$11,"agg. below")</f>
        <v>agg. below</v>
      </c>
    </row>
    <row r="161" customFormat="false" ht="15" hidden="false" customHeight="false" outlineLevel="1" collapsed="false">
      <c r="A161" s="38" t="str">
        <f aca="false">TEXT(SIP_Fund1_PPFAS!B34,"mmm-yyyy")</f>
        <v>Jun-2027</v>
      </c>
      <c r="B161" s="39" t="n">
        <f aca="false">SIP_Fund1_PPFAS!B34</f>
        <v>46539</v>
      </c>
      <c r="C161" s="40" t="n">
        <f aca="false">SIP_Fund1_PPFAS!C34</f>
        <v>5000</v>
      </c>
      <c r="D161" s="41" t="n">
        <f aca="false">SIP_Fund1_PPFAS!H34</f>
        <v>90.9949473008479</v>
      </c>
      <c r="E161" s="42" t="n">
        <f aca="false">SIP_Fund1_PPFAS!I34</f>
        <v>54.9481058928358</v>
      </c>
      <c r="F161" s="38" t="n">
        <f aca="false">Assumptions!$C$5-B161</f>
        <v>3150</v>
      </c>
      <c r="G161" s="41" t="n">
        <f aca="false">Assumptions!$D$20*(1+Assumptions!$F$20)^((Assumptions!$C$5-Assumptions!$C$4)/365)</f>
        <v>232.452118359096</v>
      </c>
      <c r="H161" s="40" t="n">
        <f aca="false">E161*G161</f>
        <v>12772.8036146096</v>
      </c>
      <c r="I161" s="48" t="n">
        <f aca="false">IF(F161&lt;365,Assumptions!$G$20,IF(F161&lt;=730,Assumptions!$H$20,Assumptions!$I$20))</f>
        <v>0</v>
      </c>
      <c r="J161" s="40" t="n">
        <f aca="false">H161*I161</f>
        <v>0</v>
      </c>
      <c r="K161" s="40" t="n">
        <f aca="false">H161-J161</f>
        <v>12772.8036146096</v>
      </c>
      <c r="L161" s="40" t="n">
        <f aca="false">K161-C161</f>
        <v>7772.80361460959</v>
      </c>
      <c r="M161" s="38" t="str">
        <f aca="false">IF(F161&gt;365,"LTCG","STCG")</f>
        <v>LTCG</v>
      </c>
      <c r="N161" s="48" t="n">
        <f aca="false">IF(M161="LTCG",Assumptions!$C$12,Assumptions!$C$11)</f>
        <v>0.125</v>
      </c>
      <c r="O161" s="38" t="str">
        <f aca="false">IF(M161="STCG",MAX(L161,0)*Assumptions!$C$11,"agg. below")</f>
        <v>agg. below</v>
      </c>
    </row>
    <row r="162" customFormat="false" ht="15" hidden="false" customHeight="false" outlineLevel="1" collapsed="false">
      <c r="A162" s="33" t="str">
        <f aca="false">TEXT(SIP_Fund1_PPFAS!B35,"mmm-yyyy")</f>
        <v>Jul-2027</v>
      </c>
      <c r="B162" s="34" t="n">
        <f aca="false">SIP_Fund1_PPFAS!B35</f>
        <v>46569</v>
      </c>
      <c r="C162" s="35" t="n">
        <f aca="false">SIP_Fund1_PPFAS!C35</f>
        <v>5000</v>
      </c>
      <c r="D162" s="36" t="n">
        <f aca="false">SIP_Fund1_PPFAS!H35</f>
        <v>91.8113725514459</v>
      </c>
      <c r="E162" s="37" t="n">
        <f aca="false">SIP_Fund1_PPFAS!I35</f>
        <v>54.459484277923</v>
      </c>
      <c r="F162" s="33" t="n">
        <f aca="false">Assumptions!$C$5-B162</f>
        <v>3120</v>
      </c>
      <c r="G162" s="36" t="n">
        <f aca="false">Assumptions!$D$20*(1+Assumptions!$F$20)^((Assumptions!$C$5-Assumptions!$C$4)/365)</f>
        <v>232.452118359096</v>
      </c>
      <c r="H162" s="35" t="n">
        <f aca="false">E162*G162</f>
        <v>12659.2224851471</v>
      </c>
      <c r="I162" s="47" t="n">
        <f aca="false">IF(F162&lt;365,Assumptions!$G$20,IF(F162&lt;=730,Assumptions!$H$20,Assumptions!$I$20))</f>
        <v>0</v>
      </c>
      <c r="J162" s="35" t="n">
        <f aca="false">H162*I162</f>
        <v>0</v>
      </c>
      <c r="K162" s="35" t="n">
        <f aca="false">H162-J162</f>
        <v>12659.2224851471</v>
      </c>
      <c r="L162" s="35" t="n">
        <f aca="false">K162-C162</f>
        <v>7659.22248514708</v>
      </c>
      <c r="M162" s="33" t="str">
        <f aca="false">IF(F162&gt;365,"LTCG","STCG")</f>
        <v>LTCG</v>
      </c>
      <c r="N162" s="47" t="n">
        <f aca="false">IF(M162="LTCG",Assumptions!$C$12,Assumptions!$C$11)</f>
        <v>0.125</v>
      </c>
      <c r="O162" s="33" t="str">
        <f aca="false">IF(M162="STCG",MAX(L162,0)*Assumptions!$C$11,"agg. below")</f>
        <v>agg. below</v>
      </c>
    </row>
    <row r="163" customFormat="false" ht="15" hidden="false" customHeight="false" outlineLevel="1" collapsed="false">
      <c r="A163" s="38" t="str">
        <f aca="false">TEXT(SIP_Fund1_PPFAS!B36,"mmm-yyyy")</f>
        <v>Aug-2027</v>
      </c>
      <c r="B163" s="39" t="n">
        <f aca="false">SIP_Fund1_PPFAS!B36</f>
        <v>46600</v>
      </c>
      <c r="C163" s="40" t="n">
        <f aca="false">SIP_Fund1_PPFAS!C36</f>
        <v>5000</v>
      </c>
      <c r="D163" s="41" t="n">
        <f aca="false">SIP_Fund1_PPFAS!H36</f>
        <v>92.6627082028812</v>
      </c>
      <c r="E163" s="42" t="n">
        <f aca="false">SIP_Fund1_PPFAS!I36</f>
        <v>53.9591395176224</v>
      </c>
      <c r="F163" s="38" t="n">
        <f aca="false">Assumptions!$C$5-B163</f>
        <v>3089</v>
      </c>
      <c r="G163" s="41" t="n">
        <f aca="false">Assumptions!$D$20*(1+Assumptions!$F$20)^((Assumptions!$C$5-Assumptions!$C$4)/365)</f>
        <v>232.452118359096</v>
      </c>
      <c r="H163" s="40" t="n">
        <f aca="false">E163*G163</f>
        <v>12542.9162857053</v>
      </c>
      <c r="I163" s="48" t="n">
        <f aca="false">IF(F163&lt;365,Assumptions!$G$20,IF(F163&lt;=730,Assumptions!$H$20,Assumptions!$I$20))</f>
        <v>0</v>
      </c>
      <c r="J163" s="40" t="n">
        <f aca="false">H163*I163</f>
        <v>0</v>
      </c>
      <c r="K163" s="40" t="n">
        <f aca="false">H163-J163</f>
        <v>12542.9162857053</v>
      </c>
      <c r="L163" s="40" t="n">
        <f aca="false">K163-C163</f>
        <v>7542.91628570533</v>
      </c>
      <c r="M163" s="38" t="str">
        <f aca="false">IF(F163&gt;365,"LTCG","STCG")</f>
        <v>LTCG</v>
      </c>
      <c r="N163" s="48" t="n">
        <f aca="false">IF(M163="LTCG",Assumptions!$C$12,Assumptions!$C$11)</f>
        <v>0.125</v>
      </c>
      <c r="O163" s="38" t="str">
        <f aca="false">IF(M163="STCG",MAX(L163,0)*Assumptions!$C$11,"agg. below")</f>
        <v>agg. below</v>
      </c>
    </row>
    <row r="164" customFormat="false" ht="15" hidden="false" customHeight="false" outlineLevel="1" collapsed="false">
      <c r="A164" s="33" t="str">
        <f aca="false">TEXT(SIP_Fund1_PPFAS!B37,"mmm-yyyy")</f>
        <v>Sep-2027</v>
      </c>
      <c r="B164" s="34" t="n">
        <f aca="false">SIP_Fund1_PPFAS!B37</f>
        <v>46631</v>
      </c>
      <c r="C164" s="35" t="n">
        <f aca="false">SIP_Fund1_PPFAS!C37</f>
        <v>5000</v>
      </c>
      <c r="D164" s="36" t="n">
        <f aca="false">SIP_Fund1_PPFAS!H37</f>
        <v>93.5219380004474</v>
      </c>
      <c r="E164" s="37" t="n">
        <f aca="false">SIP_Fund1_PPFAS!I37</f>
        <v>53.4633916587152</v>
      </c>
      <c r="F164" s="33" t="n">
        <f aca="false">Assumptions!$C$5-B164</f>
        <v>3058</v>
      </c>
      <c r="G164" s="36" t="n">
        <f aca="false">Assumptions!$D$20*(1+Assumptions!$F$20)^((Assumptions!$C$5-Assumptions!$C$4)/365)</f>
        <v>232.452118359096</v>
      </c>
      <c r="H164" s="35" t="n">
        <f aca="false">E164*G164</f>
        <v>12427.6786457304</v>
      </c>
      <c r="I164" s="47" t="n">
        <f aca="false">IF(F164&lt;365,Assumptions!$G$20,IF(F164&lt;=730,Assumptions!$H$20,Assumptions!$I$20))</f>
        <v>0</v>
      </c>
      <c r="J164" s="35" t="n">
        <f aca="false">H164*I164</f>
        <v>0</v>
      </c>
      <c r="K164" s="35" t="n">
        <f aca="false">H164-J164</f>
        <v>12427.6786457304</v>
      </c>
      <c r="L164" s="35" t="n">
        <f aca="false">K164-C164</f>
        <v>7427.67864573036</v>
      </c>
      <c r="M164" s="33" t="str">
        <f aca="false">IF(F164&gt;365,"LTCG","STCG")</f>
        <v>LTCG</v>
      </c>
      <c r="N164" s="47" t="n">
        <f aca="false">IF(M164="LTCG",Assumptions!$C$12,Assumptions!$C$11)</f>
        <v>0.125</v>
      </c>
      <c r="O164" s="33" t="str">
        <f aca="false">IF(M164="STCG",MAX(L164,0)*Assumptions!$C$11,"agg. below")</f>
        <v>agg. below</v>
      </c>
    </row>
    <row r="165" customFormat="false" ht="15" hidden="false" customHeight="false" outlineLevel="1" collapsed="false">
      <c r="A165" s="38" t="str">
        <f aca="false">TEXT(SIP_Fund1_PPFAS!B38,"mmm-yyyy")</f>
        <v>Oct-2027</v>
      </c>
      <c r="B165" s="39" t="n">
        <f aca="false">SIP_Fund1_PPFAS!B38</f>
        <v>46661</v>
      </c>
      <c r="C165" s="40" t="n">
        <f aca="false">SIP_Fund1_PPFAS!C38</f>
        <v>5000</v>
      </c>
      <c r="D165" s="41" t="n">
        <f aca="false">SIP_Fund1_PPFAS!H38</f>
        <v>94.3610359276761</v>
      </c>
      <c r="E165" s="42" t="n">
        <f aca="false">SIP_Fund1_PPFAS!I38</f>
        <v>52.9879727457877</v>
      </c>
      <c r="F165" s="38" t="n">
        <f aca="false">Assumptions!$C$5-B165</f>
        <v>3028</v>
      </c>
      <c r="G165" s="41" t="n">
        <f aca="false">Assumptions!$D$20*(1+Assumptions!$F$20)^((Assumptions!$C$5-Assumptions!$C$4)/365)</f>
        <v>232.452118359096</v>
      </c>
      <c r="H165" s="40" t="n">
        <f aca="false">E165*G165</f>
        <v>12317.1665123124</v>
      </c>
      <c r="I165" s="48" t="n">
        <f aca="false">IF(F165&lt;365,Assumptions!$G$20,IF(F165&lt;=730,Assumptions!$H$20,Assumptions!$I$20))</f>
        <v>0</v>
      </c>
      <c r="J165" s="40" t="n">
        <f aca="false">H165*I165</f>
        <v>0</v>
      </c>
      <c r="K165" s="40" t="n">
        <f aca="false">H165-J165</f>
        <v>12317.1665123124</v>
      </c>
      <c r="L165" s="40" t="n">
        <f aca="false">K165-C165</f>
        <v>7317.16651231239</v>
      </c>
      <c r="M165" s="38" t="str">
        <f aca="false">IF(F165&gt;365,"LTCG","STCG")</f>
        <v>LTCG</v>
      </c>
      <c r="N165" s="48" t="n">
        <f aca="false">IF(M165="LTCG",Assumptions!$C$12,Assumptions!$C$11)</f>
        <v>0.125</v>
      </c>
      <c r="O165" s="38" t="str">
        <f aca="false">IF(M165="STCG",MAX(L165,0)*Assumptions!$C$11,"agg. below")</f>
        <v>agg. below</v>
      </c>
    </row>
    <row r="166" customFormat="false" ht="15" hidden="false" customHeight="false" outlineLevel="1" collapsed="false">
      <c r="A166" s="33" t="str">
        <f aca="false">TEXT(SIP_Fund1_PPFAS!B39,"mmm-yyyy")</f>
        <v>Nov-2027</v>
      </c>
      <c r="B166" s="34" t="n">
        <f aca="false">SIP_Fund1_PPFAS!B39</f>
        <v>46692</v>
      </c>
      <c r="C166" s="35" t="n">
        <f aca="false">SIP_Fund1_PPFAS!C39</f>
        <v>5000</v>
      </c>
      <c r="D166" s="36" t="n">
        <f aca="false">SIP_Fund1_PPFAS!H39</f>
        <v>95.2360137409812</v>
      </c>
      <c r="E166" s="37" t="n">
        <f aca="false">SIP_Fund1_PPFAS!I39</f>
        <v>52.5011474503625</v>
      </c>
      <c r="F166" s="33" t="n">
        <f aca="false">Assumptions!$C$5-B166</f>
        <v>2997</v>
      </c>
      <c r="G166" s="36" t="n">
        <f aca="false">Assumptions!$D$20*(1+Assumptions!$F$20)^((Assumptions!$C$5-Assumptions!$C$4)/365)</f>
        <v>232.452118359096</v>
      </c>
      <c r="H166" s="35" t="n">
        <f aca="false">E166*G166</f>
        <v>12204.00294112</v>
      </c>
      <c r="I166" s="47" t="n">
        <f aca="false">IF(F166&lt;365,Assumptions!$G$20,IF(F166&lt;=730,Assumptions!$H$20,Assumptions!$I$20))</f>
        <v>0</v>
      </c>
      <c r="J166" s="35" t="n">
        <f aca="false">H166*I166</f>
        <v>0</v>
      </c>
      <c r="K166" s="35" t="n">
        <f aca="false">H166-J166</f>
        <v>12204.00294112</v>
      </c>
      <c r="L166" s="35" t="n">
        <f aca="false">K166-C166</f>
        <v>7204.00294112</v>
      </c>
      <c r="M166" s="33" t="str">
        <f aca="false">IF(F166&gt;365,"LTCG","STCG")</f>
        <v>LTCG</v>
      </c>
      <c r="N166" s="47" t="n">
        <f aca="false">IF(M166="LTCG",Assumptions!$C$12,Assumptions!$C$11)</f>
        <v>0.125</v>
      </c>
      <c r="O166" s="33" t="str">
        <f aca="false">IF(M166="STCG",MAX(L166,0)*Assumptions!$C$11,"agg. below")</f>
        <v>agg. below</v>
      </c>
    </row>
    <row r="167" customFormat="false" ht="15" hidden="false" customHeight="false" outlineLevel="1" collapsed="false">
      <c r="A167" s="38" t="str">
        <f aca="false">TEXT(SIP_Fund1_PPFAS!B40,"mmm-yyyy")</f>
        <v>Dec-2027</v>
      </c>
      <c r="B167" s="39" t="n">
        <f aca="false">SIP_Fund1_PPFAS!B40</f>
        <v>46722</v>
      </c>
      <c r="C167" s="40" t="n">
        <f aca="false">SIP_Fund1_PPFAS!C40</f>
        <v>5000</v>
      </c>
      <c r="D167" s="41" t="n">
        <f aca="false">SIP_Fund1_PPFAS!H40</f>
        <v>96.0904907058105</v>
      </c>
      <c r="E167" s="42" t="n">
        <f aca="false">SIP_Fund1_PPFAS!I40</f>
        <v>52.0342852167124</v>
      </c>
      <c r="F167" s="38" t="n">
        <f aca="false">Assumptions!$C$5-B167</f>
        <v>2967</v>
      </c>
      <c r="G167" s="41" t="n">
        <f aca="false">Assumptions!$D$20*(1+Assumptions!$F$20)^((Assumptions!$C$5-Assumptions!$C$4)/365)</f>
        <v>232.452118359096</v>
      </c>
      <c r="H167" s="40" t="n">
        <f aca="false">E167*G167</f>
        <v>12095.4798259262</v>
      </c>
      <c r="I167" s="48" t="n">
        <f aca="false">IF(F167&lt;365,Assumptions!$G$20,IF(F167&lt;=730,Assumptions!$H$20,Assumptions!$I$20))</f>
        <v>0</v>
      </c>
      <c r="J167" s="40" t="n">
        <f aca="false">H167*I167</f>
        <v>0</v>
      </c>
      <c r="K167" s="40" t="n">
        <f aca="false">H167-J167</f>
        <v>12095.4798259262</v>
      </c>
      <c r="L167" s="40" t="n">
        <f aca="false">K167-C167</f>
        <v>7095.47982592619</v>
      </c>
      <c r="M167" s="38" t="str">
        <f aca="false">IF(F167&gt;365,"LTCG","STCG")</f>
        <v>LTCG</v>
      </c>
      <c r="N167" s="48" t="n">
        <f aca="false">IF(M167="LTCG",Assumptions!$C$12,Assumptions!$C$11)</f>
        <v>0.125</v>
      </c>
      <c r="O167" s="38" t="str">
        <f aca="false">IF(M167="STCG",MAX(L167,0)*Assumptions!$C$11,"agg. below")</f>
        <v>agg. below</v>
      </c>
    </row>
    <row r="168" customFormat="false" ht="15" hidden="false" customHeight="false" outlineLevel="1" collapsed="false">
      <c r="A168" s="33" t="str">
        <f aca="false">TEXT(SIP_Fund1_PPFAS!B41,"mmm-yyyy")</f>
        <v>Jan-2028</v>
      </c>
      <c r="B168" s="34" t="n">
        <f aca="false">SIP_Fund1_PPFAS!B41</f>
        <v>46753</v>
      </c>
      <c r="C168" s="35" t="n">
        <f aca="false">SIP_Fund1_PPFAS!C41</f>
        <v>6000</v>
      </c>
      <c r="D168" s="36" t="n">
        <f aca="false">SIP_Fund1_PPFAS!H41</f>
        <v>96.98150516544</v>
      </c>
      <c r="E168" s="37" t="n">
        <f aca="false">SIP_Fund1_PPFAS!I41</f>
        <v>61.8674662737462</v>
      </c>
      <c r="F168" s="33" t="n">
        <f aca="false">Assumptions!$C$5-B168</f>
        <v>2936</v>
      </c>
      <c r="G168" s="36" t="n">
        <f aca="false">Assumptions!$D$20*(1+Assumptions!$F$20)^((Assumptions!$C$5-Assumptions!$C$4)/365)</f>
        <v>232.452118359096</v>
      </c>
      <c r="H168" s="35" t="n">
        <f aca="false">E168*G168</f>
        <v>14381.2235928422</v>
      </c>
      <c r="I168" s="47" t="n">
        <f aca="false">IF(F168&lt;365,Assumptions!$G$20,IF(F168&lt;=730,Assumptions!$H$20,Assumptions!$I$20))</f>
        <v>0</v>
      </c>
      <c r="J168" s="35" t="n">
        <f aca="false">H168*I168</f>
        <v>0</v>
      </c>
      <c r="K168" s="35" t="n">
        <f aca="false">H168-J168</f>
        <v>14381.2235928422</v>
      </c>
      <c r="L168" s="35" t="n">
        <f aca="false">K168-C168</f>
        <v>8381.22359284221</v>
      </c>
      <c r="M168" s="33" t="str">
        <f aca="false">IF(F168&gt;365,"LTCG","STCG")</f>
        <v>LTCG</v>
      </c>
      <c r="N168" s="47" t="n">
        <f aca="false">IF(M168="LTCG",Assumptions!$C$12,Assumptions!$C$11)</f>
        <v>0.125</v>
      </c>
      <c r="O168" s="33" t="str">
        <f aca="false">IF(M168="STCG",MAX(L168,0)*Assumptions!$C$11,"agg. below")</f>
        <v>agg. below</v>
      </c>
    </row>
    <row r="169" customFormat="false" ht="15" hidden="false" customHeight="false" outlineLevel="1" collapsed="false">
      <c r="A169" s="38" t="str">
        <f aca="false">TEXT(SIP_Fund1_PPFAS!B42,"mmm-yyyy")</f>
        <v>Feb-2028</v>
      </c>
      <c r="B169" s="39" t="n">
        <f aca="false">SIP_Fund1_PPFAS!B42</f>
        <v>46784</v>
      </c>
      <c r="C169" s="40" t="n">
        <f aca="false">SIP_Fund1_PPFAS!C42</f>
        <v>6000</v>
      </c>
      <c r="D169" s="41" t="n">
        <f aca="false">SIP_Fund1_PPFAS!H42</f>
        <v>97.8807816993022</v>
      </c>
      <c r="E169" s="42" t="n">
        <f aca="false">SIP_Fund1_PPFAS!I42</f>
        <v>61.2990609171113</v>
      </c>
      <c r="F169" s="38" t="n">
        <f aca="false">Assumptions!$C$5-B169</f>
        <v>2905</v>
      </c>
      <c r="G169" s="41" t="n">
        <f aca="false">Assumptions!$D$20*(1+Assumptions!$F$20)^((Assumptions!$C$5-Assumptions!$C$4)/365)</f>
        <v>232.452118359096</v>
      </c>
      <c r="H169" s="40" t="n">
        <f aca="false">E169*G169</f>
        <v>14249.0965636058</v>
      </c>
      <c r="I169" s="48" t="n">
        <f aca="false">IF(F169&lt;365,Assumptions!$G$20,IF(F169&lt;=730,Assumptions!$H$20,Assumptions!$I$20))</f>
        <v>0</v>
      </c>
      <c r="J169" s="40" t="n">
        <f aca="false">H169*I169</f>
        <v>0</v>
      </c>
      <c r="K169" s="40" t="n">
        <f aca="false">H169-J169</f>
        <v>14249.0965636058</v>
      </c>
      <c r="L169" s="40" t="n">
        <f aca="false">K169-C169</f>
        <v>8249.09656360578</v>
      </c>
      <c r="M169" s="38" t="str">
        <f aca="false">IF(F169&gt;365,"LTCG","STCG")</f>
        <v>LTCG</v>
      </c>
      <c r="N169" s="48" t="n">
        <f aca="false">IF(M169="LTCG",Assumptions!$C$12,Assumptions!$C$11)</f>
        <v>0.125</v>
      </c>
      <c r="O169" s="38" t="str">
        <f aca="false">IF(M169="STCG",MAX(L169,0)*Assumptions!$C$11,"agg. below")</f>
        <v>agg. below</v>
      </c>
    </row>
    <row r="170" customFormat="false" ht="15" hidden="false" customHeight="false" outlineLevel="1" collapsed="false">
      <c r="A170" s="33" t="str">
        <f aca="false">TEXT(SIP_Fund1_PPFAS!B43,"mmm-yyyy")</f>
        <v>Mar-2028</v>
      </c>
      <c r="B170" s="34" t="n">
        <f aca="false">SIP_Fund1_PPFAS!B43</f>
        <v>46813</v>
      </c>
      <c r="C170" s="35" t="n">
        <f aca="false">SIP_Fund1_PPFAS!C43</f>
        <v>6000</v>
      </c>
      <c r="D170" s="36" t="n">
        <f aca="false">SIP_Fund1_PPFAS!H43</f>
        <v>98.7295879608406</v>
      </c>
      <c r="E170" s="37" t="n">
        <f aca="false">SIP_Fund1_PPFAS!I43</f>
        <v>60.7720555096391</v>
      </c>
      <c r="F170" s="33" t="n">
        <f aca="false">Assumptions!$C$5-B170</f>
        <v>2876</v>
      </c>
      <c r="G170" s="36" t="n">
        <f aca="false">Assumptions!$D$20*(1+Assumptions!$F$20)^((Assumptions!$C$5-Assumptions!$C$4)/365)</f>
        <v>232.452118359096</v>
      </c>
      <c r="H170" s="35" t="n">
        <f aca="false">E170*G170</f>
        <v>14126.5930402522</v>
      </c>
      <c r="I170" s="47" t="n">
        <f aca="false">IF(F170&lt;365,Assumptions!$G$20,IF(F170&lt;=730,Assumptions!$H$20,Assumptions!$I$20))</f>
        <v>0</v>
      </c>
      <c r="J170" s="35" t="n">
        <f aca="false">H170*I170</f>
        <v>0</v>
      </c>
      <c r="K170" s="35" t="n">
        <f aca="false">H170-J170</f>
        <v>14126.5930402522</v>
      </c>
      <c r="L170" s="35" t="n">
        <f aca="false">K170-C170</f>
        <v>8126.59304025216</v>
      </c>
      <c r="M170" s="33" t="str">
        <f aca="false">IF(F170&gt;365,"LTCG","STCG")</f>
        <v>LTCG</v>
      </c>
      <c r="N170" s="47" t="n">
        <f aca="false">IF(M170="LTCG",Assumptions!$C$12,Assumptions!$C$11)</f>
        <v>0.125</v>
      </c>
      <c r="O170" s="33" t="str">
        <f aca="false">IF(M170="STCG",MAX(L170,0)*Assumptions!$C$11,"agg. below")</f>
        <v>agg. below</v>
      </c>
    </row>
    <row r="171" customFormat="false" ht="15" hidden="false" customHeight="false" outlineLevel="1" collapsed="false">
      <c r="A171" s="38" t="str">
        <f aca="false">TEXT(SIP_Fund1_PPFAS!B44,"mmm-yyyy")</f>
        <v>Apr-2028</v>
      </c>
      <c r="B171" s="39" t="n">
        <f aca="false">SIP_Fund1_PPFAS!B44</f>
        <v>46844</v>
      </c>
      <c r="C171" s="40" t="n">
        <f aca="false">SIP_Fund1_PPFAS!C44</f>
        <v>6000</v>
      </c>
      <c r="D171" s="41" t="n">
        <f aca="false">SIP_Fund1_PPFAS!H44</f>
        <v>99.6450738722998</v>
      </c>
      <c r="E171" s="42" t="n">
        <f aca="false">SIP_Fund1_PPFAS!I44</f>
        <v>60.2137142041693</v>
      </c>
      <c r="F171" s="38" t="n">
        <f aca="false">Assumptions!$C$5-B171</f>
        <v>2845</v>
      </c>
      <c r="G171" s="41" t="n">
        <f aca="false">Assumptions!$D$20*(1+Assumptions!$F$20)^((Assumptions!$C$5-Assumptions!$C$4)/365)</f>
        <v>232.452118359096</v>
      </c>
      <c r="H171" s="40" t="n">
        <f aca="false">E171*G171</f>
        <v>13996.8054210283</v>
      </c>
      <c r="I171" s="48" t="n">
        <f aca="false">IF(F171&lt;365,Assumptions!$G$20,IF(F171&lt;=730,Assumptions!$H$20,Assumptions!$I$20))</f>
        <v>0</v>
      </c>
      <c r="J171" s="40" t="n">
        <f aca="false">H171*I171</f>
        <v>0</v>
      </c>
      <c r="K171" s="40" t="n">
        <f aca="false">H171-J171</f>
        <v>13996.8054210283</v>
      </c>
      <c r="L171" s="40" t="n">
        <f aca="false">K171-C171</f>
        <v>7996.80542102833</v>
      </c>
      <c r="M171" s="38" t="str">
        <f aca="false">IF(F171&gt;365,"LTCG","STCG")</f>
        <v>LTCG</v>
      </c>
      <c r="N171" s="48" t="n">
        <f aca="false">IF(M171="LTCG",Assumptions!$C$12,Assumptions!$C$11)</f>
        <v>0.125</v>
      </c>
      <c r="O171" s="38" t="str">
        <f aca="false">IF(M171="STCG",MAX(L171,0)*Assumptions!$C$11,"agg. below")</f>
        <v>agg. below</v>
      </c>
    </row>
    <row r="172" customFormat="false" ht="15" hidden="false" customHeight="false" outlineLevel="1" collapsed="false">
      <c r="A172" s="33" t="str">
        <f aca="false">TEXT(SIP_Fund1_PPFAS!B45,"mmm-yyyy")</f>
        <v>May-2028</v>
      </c>
      <c r="B172" s="34" t="n">
        <f aca="false">SIP_Fund1_PPFAS!B45</f>
        <v>46874</v>
      </c>
      <c r="C172" s="35" t="n">
        <f aca="false">SIP_Fund1_PPFAS!C45</f>
        <v>6000</v>
      </c>
      <c r="D172" s="36" t="n">
        <f aca="false">SIP_Fund1_PPFAS!H45</f>
        <v>100.539109825066</v>
      </c>
      <c r="E172" s="37" t="n">
        <f aca="false">SIP_Fund1_PPFAS!I45</f>
        <v>59.6782685905986</v>
      </c>
      <c r="F172" s="33" t="n">
        <f aca="false">Assumptions!$C$5-B172</f>
        <v>2815</v>
      </c>
      <c r="G172" s="36" t="n">
        <f aca="false">Assumptions!$D$20*(1+Assumptions!$F$20)^((Assumptions!$C$5-Assumptions!$C$4)/365)</f>
        <v>232.452118359096</v>
      </c>
      <c r="H172" s="35" t="n">
        <f aca="false">E172*G172</f>
        <v>13872.3399538877</v>
      </c>
      <c r="I172" s="47" t="n">
        <f aca="false">IF(F172&lt;365,Assumptions!$G$20,IF(F172&lt;=730,Assumptions!$H$20,Assumptions!$I$20))</f>
        <v>0</v>
      </c>
      <c r="J172" s="35" t="n">
        <f aca="false">H172*I172</f>
        <v>0</v>
      </c>
      <c r="K172" s="35" t="n">
        <f aca="false">H172-J172</f>
        <v>13872.3399538877</v>
      </c>
      <c r="L172" s="35" t="n">
        <f aca="false">K172-C172</f>
        <v>7872.33995388774</v>
      </c>
      <c r="M172" s="33" t="str">
        <f aca="false">IF(F172&gt;365,"LTCG","STCG")</f>
        <v>LTCG</v>
      </c>
      <c r="N172" s="47" t="n">
        <f aca="false">IF(M172="LTCG",Assumptions!$C$12,Assumptions!$C$11)</f>
        <v>0.125</v>
      </c>
      <c r="O172" s="33" t="str">
        <f aca="false">IF(M172="STCG",MAX(L172,0)*Assumptions!$C$11,"agg. below")</f>
        <v>agg. below</v>
      </c>
    </row>
    <row r="173" customFormat="false" ht="15" hidden="false" customHeight="false" outlineLevel="1" collapsed="false">
      <c r="A173" s="38" t="str">
        <f aca="false">TEXT(SIP_Fund1_PPFAS!B46,"mmm-yyyy")</f>
        <v>Jun-2028</v>
      </c>
      <c r="B173" s="39" t="n">
        <f aca="false">SIP_Fund1_PPFAS!B46</f>
        <v>46905</v>
      </c>
      <c r="C173" s="40" t="n">
        <f aca="false">SIP_Fund1_PPFAS!C46</f>
        <v>6000</v>
      </c>
      <c r="D173" s="41" t="n">
        <f aca="false">SIP_Fund1_PPFAS!H46</f>
        <v>101.471374817725</v>
      </c>
      <c r="E173" s="42" t="n">
        <f aca="false">SIP_Fund1_PPFAS!I46</f>
        <v>59.1299764172696</v>
      </c>
      <c r="F173" s="38" t="n">
        <f aca="false">Assumptions!$C$5-B173</f>
        <v>2784</v>
      </c>
      <c r="G173" s="41" t="n">
        <f aca="false">Assumptions!$D$20*(1+Assumptions!$F$20)^((Assumptions!$C$5-Assumptions!$C$4)/365)</f>
        <v>232.452118359096</v>
      </c>
      <c r="H173" s="40" t="n">
        <f aca="false">E173*G173</f>
        <v>13744.8882767177</v>
      </c>
      <c r="I173" s="48" t="n">
        <f aca="false">IF(F173&lt;365,Assumptions!$G$20,IF(F173&lt;=730,Assumptions!$H$20,Assumptions!$I$20))</f>
        <v>0</v>
      </c>
      <c r="J173" s="40" t="n">
        <f aca="false">H173*I173</f>
        <v>0</v>
      </c>
      <c r="K173" s="40" t="n">
        <f aca="false">H173-J173</f>
        <v>13744.8882767177</v>
      </c>
      <c r="L173" s="40" t="n">
        <f aca="false">K173-C173</f>
        <v>7744.88827671771</v>
      </c>
      <c r="M173" s="38" t="str">
        <f aca="false">IF(F173&gt;365,"LTCG","STCG")</f>
        <v>LTCG</v>
      </c>
      <c r="N173" s="48" t="n">
        <f aca="false">IF(M173="LTCG",Assumptions!$C$12,Assumptions!$C$11)</f>
        <v>0.125</v>
      </c>
      <c r="O173" s="38" t="str">
        <f aca="false">IF(M173="STCG",MAX(L173,0)*Assumptions!$C$11,"agg. below")</f>
        <v>agg. below</v>
      </c>
    </row>
    <row r="174" customFormat="false" ht="15" hidden="false" customHeight="false" outlineLevel="1" collapsed="false">
      <c r="A174" s="33" t="str">
        <f aca="false">TEXT(SIP_Fund1_PPFAS!B47,"mmm-yyyy")</f>
        <v>Jul-2028</v>
      </c>
      <c r="B174" s="34" t="n">
        <f aca="false">SIP_Fund1_PPFAS!B47</f>
        <v>46935</v>
      </c>
      <c r="C174" s="35" t="n">
        <f aca="false">SIP_Fund1_PPFAS!C47</f>
        <v>6000</v>
      </c>
      <c r="D174" s="36" t="n">
        <f aca="false">SIP_Fund1_PPFAS!H47</f>
        <v>102.381796715549</v>
      </c>
      <c r="E174" s="37" t="n">
        <f aca="false">SIP_Fund1_PPFAS!I47</f>
        <v>58.6041678548579</v>
      </c>
      <c r="F174" s="33" t="n">
        <f aca="false">Assumptions!$C$5-B174</f>
        <v>2754</v>
      </c>
      <c r="G174" s="36" t="n">
        <f aca="false">Assumptions!$D$20*(1+Assumptions!$F$20)^((Assumptions!$C$5-Assumptions!$C$4)/365)</f>
        <v>232.452118359096</v>
      </c>
      <c r="H174" s="35" t="n">
        <f aca="false">E174*G174</f>
        <v>13622.6629625337</v>
      </c>
      <c r="I174" s="47" t="n">
        <f aca="false">IF(F174&lt;365,Assumptions!$G$20,IF(F174&lt;=730,Assumptions!$H$20,Assumptions!$I$20))</f>
        <v>0</v>
      </c>
      <c r="J174" s="35" t="n">
        <f aca="false">H174*I174</f>
        <v>0</v>
      </c>
      <c r="K174" s="35" t="n">
        <f aca="false">H174-J174</f>
        <v>13622.6629625337</v>
      </c>
      <c r="L174" s="35" t="n">
        <f aca="false">K174-C174</f>
        <v>7622.66296253375</v>
      </c>
      <c r="M174" s="33" t="str">
        <f aca="false">IF(F174&gt;365,"LTCG","STCG")</f>
        <v>LTCG</v>
      </c>
      <c r="N174" s="47" t="n">
        <f aca="false">IF(M174="LTCG",Assumptions!$C$12,Assumptions!$C$11)</f>
        <v>0.125</v>
      </c>
      <c r="O174" s="33" t="str">
        <f aca="false">IF(M174="STCG",MAX(L174,0)*Assumptions!$C$11,"agg. below")</f>
        <v>agg. below</v>
      </c>
    </row>
    <row r="175" customFormat="false" ht="15" hidden="false" customHeight="false" outlineLevel="1" collapsed="false">
      <c r="A175" s="38" t="str">
        <f aca="false">TEXT(SIP_Fund1_PPFAS!B48,"mmm-yyyy")</f>
        <v>Aug-2028</v>
      </c>
      <c r="B175" s="39" t="n">
        <f aca="false">SIP_Fund1_PPFAS!B48</f>
        <v>46966</v>
      </c>
      <c r="C175" s="40" t="n">
        <f aca="false">SIP_Fund1_PPFAS!C48</f>
        <v>6000</v>
      </c>
      <c r="D175" s="41" t="n">
        <f aca="false">SIP_Fund1_PPFAS!H48</f>
        <v>103.331148317423</v>
      </c>
      <c r="E175" s="42" t="n">
        <f aca="false">SIP_Fund1_PPFAS!I48</f>
        <v>58.0657439474938</v>
      </c>
      <c r="F175" s="38" t="n">
        <f aca="false">Assumptions!$C$5-B175</f>
        <v>2723</v>
      </c>
      <c r="G175" s="41" t="n">
        <f aca="false">Assumptions!$D$20*(1+Assumptions!$F$20)^((Assumptions!$C$5-Assumptions!$C$4)/365)</f>
        <v>232.452118359096</v>
      </c>
      <c r="H175" s="40" t="n">
        <f aca="false">E175*G175</f>
        <v>13497.5051846918</v>
      </c>
      <c r="I175" s="48" t="n">
        <f aca="false">IF(F175&lt;365,Assumptions!$G$20,IF(F175&lt;=730,Assumptions!$H$20,Assumptions!$I$20))</f>
        <v>0</v>
      </c>
      <c r="J175" s="40" t="n">
        <f aca="false">H175*I175</f>
        <v>0</v>
      </c>
      <c r="K175" s="40" t="n">
        <f aca="false">H175-J175</f>
        <v>13497.5051846918</v>
      </c>
      <c r="L175" s="40" t="n">
        <f aca="false">K175-C175</f>
        <v>7497.50518469177</v>
      </c>
      <c r="M175" s="38" t="str">
        <f aca="false">IF(F175&gt;365,"LTCG","STCG")</f>
        <v>LTCG</v>
      </c>
      <c r="N175" s="48" t="n">
        <f aca="false">IF(M175="LTCG",Assumptions!$C$12,Assumptions!$C$11)</f>
        <v>0.125</v>
      </c>
      <c r="O175" s="38" t="str">
        <f aca="false">IF(M175="STCG",MAX(L175,0)*Assumptions!$C$11,"agg. below")</f>
        <v>agg. below</v>
      </c>
    </row>
    <row r="176" customFormat="false" ht="15" hidden="false" customHeight="false" outlineLevel="1" collapsed="false">
      <c r="A176" s="33" t="str">
        <f aca="false">TEXT(SIP_Fund1_PPFAS!B49,"mmm-yyyy")</f>
        <v>Sep-2028</v>
      </c>
      <c r="B176" s="34" t="n">
        <f aca="false">SIP_Fund1_PPFAS!B49</f>
        <v>46997</v>
      </c>
      <c r="C176" s="35" t="n">
        <f aca="false">SIP_Fund1_PPFAS!C49</f>
        <v>6000</v>
      </c>
      <c r="D176" s="36" t="n">
        <f aca="false">SIP_Fund1_PPFAS!H49</f>
        <v>104.289302934021</v>
      </c>
      <c r="E176" s="37" t="n">
        <f aca="false">SIP_Fund1_PPFAS!I49</f>
        <v>57.532266792462</v>
      </c>
      <c r="F176" s="33" t="n">
        <f aca="false">Assumptions!$C$5-B176</f>
        <v>2692</v>
      </c>
      <c r="G176" s="36" t="n">
        <f aca="false">Assumptions!$D$20*(1+Assumptions!$F$20)^((Assumptions!$C$5-Assumptions!$C$4)/365)</f>
        <v>232.452118359096</v>
      </c>
      <c r="H176" s="35" t="n">
        <f aca="false">E176*G176</f>
        <v>13373.4972899084</v>
      </c>
      <c r="I176" s="47" t="n">
        <f aca="false">IF(F176&lt;365,Assumptions!$G$20,IF(F176&lt;=730,Assumptions!$H$20,Assumptions!$I$20))</f>
        <v>0</v>
      </c>
      <c r="J176" s="35" t="n">
        <f aca="false">H176*I176</f>
        <v>0</v>
      </c>
      <c r="K176" s="35" t="n">
        <f aca="false">H176-J176</f>
        <v>13373.4972899084</v>
      </c>
      <c r="L176" s="35" t="n">
        <f aca="false">K176-C176</f>
        <v>7373.49728990844</v>
      </c>
      <c r="M176" s="33" t="str">
        <f aca="false">IF(F176&gt;365,"LTCG","STCG")</f>
        <v>LTCG</v>
      </c>
      <c r="N176" s="47" t="n">
        <f aca="false">IF(M176="LTCG",Assumptions!$C$12,Assumptions!$C$11)</f>
        <v>0.125</v>
      </c>
      <c r="O176" s="33" t="str">
        <f aca="false">IF(M176="STCG",MAX(L176,0)*Assumptions!$C$11,"agg. below")</f>
        <v>agg. below</v>
      </c>
    </row>
    <row r="177" customFormat="false" ht="15" hidden="false" customHeight="false" outlineLevel="1" collapsed="false">
      <c r="A177" s="38" t="str">
        <f aca="false">TEXT(SIP_Fund1_PPFAS!B50,"mmm-yyyy")</f>
        <v>Oct-2028</v>
      </c>
      <c r="B177" s="39" t="n">
        <f aca="false">SIP_Fund1_PPFAS!B50</f>
        <v>47027</v>
      </c>
      <c r="C177" s="40" t="n">
        <f aca="false">SIP_Fund1_PPFAS!C50</f>
        <v>6000</v>
      </c>
      <c r="D177" s="41" t="n">
        <f aca="false">SIP_Fund1_PPFAS!H50</f>
        <v>105.225007858396</v>
      </c>
      <c r="E177" s="42" t="n">
        <f aca="false">SIP_Fund1_PPFAS!I50</f>
        <v>57.0206657344646</v>
      </c>
      <c r="F177" s="38" t="n">
        <f aca="false">Assumptions!$C$5-B177</f>
        <v>2662</v>
      </c>
      <c r="G177" s="41" t="n">
        <f aca="false">Assumptions!$D$20*(1+Assumptions!$F$20)^((Assumptions!$C$5-Assumptions!$C$4)/365)</f>
        <v>232.452118359096</v>
      </c>
      <c r="H177" s="40" t="n">
        <f aca="false">E177*G177</f>
        <v>13254.5745402222</v>
      </c>
      <c r="I177" s="48" t="n">
        <f aca="false">IF(F177&lt;365,Assumptions!$G$20,IF(F177&lt;=730,Assumptions!$H$20,Assumptions!$I$20))</f>
        <v>0</v>
      </c>
      <c r="J177" s="40" t="n">
        <f aca="false">H177*I177</f>
        <v>0</v>
      </c>
      <c r="K177" s="40" t="n">
        <f aca="false">H177-J177</f>
        <v>13254.5745402222</v>
      </c>
      <c r="L177" s="40" t="n">
        <f aca="false">K177-C177</f>
        <v>7254.57454022221</v>
      </c>
      <c r="M177" s="38" t="str">
        <f aca="false">IF(F177&gt;365,"LTCG","STCG")</f>
        <v>LTCG</v>
      </c>
      <c r="N177" s="48" t="n">
        <f aca="false">IF(M177="LTCG",Assumptions!$C$12,Assumptions!$C$11)</f>
        <v>0.125</v>
      </c>
      <c r="O177" s="38" t="str">
        <f aca="false">IF(M177="STCG",MAX(L177,0)*Assumptions!$C$11,"agg. below")</f>
        <v>agg. below</v>
      </c>
    </row>
    <row r="178" customFormat="false" ht="15" hidden="false" customHeight="false" outlineLevel="1" collapsed="false">
      <c r="A178" s="33" t="str">
        <f aca="false">TEXT(SIP_Fund1_PPFAS!B51,"mmm-yyyy")</f>
        <v>Nov-2028</v>
      </c>
      <c r="B178" s="34" t="n">
        <f aca="false">SIP_Fund1_PPFAS!B51</f>
        <v>47058</v>
      </c>
      <c r="C178" s="35" t="n">
        <f aca="false">SIP_Fund1_PPFAS!C51</f>
        <v>6000</v>
      </c>
      <c r="D178" s="36" t="n">
        <f aca="false">SIP_Fund1_PPFAS!H51</f>
        <v>106.200723590804</v>
      </c>
      <c r="E178" s="37" t="n">
        <f aca="false">SIP_Fund1_PPFAS!I51</f>
        <v>56.4967902019037</v>
      </c>
      <c r="F178" s="33" t="n">
        <f aca="false">Assumptions!$C$5-B178</f>
        <v>2631</v>
      </c>
      <c r="G178" s="36" t="n">
        <f aca="false">Assumptions!$D$20*(1+Assumptions!$F$20)^((Assumptions!$C$5-Assumptions!$C$4)/365)</f>
        <v>232.452118359096</v>
      </c>
      <c r="H178" s="35" t="n">
        <f aca="false">E178*G178</f>
        <v>13132.7985629219</v>
      </c>
      <c r="I178" s="47" t="n">
        <f aca="false">IF(F178&lt;365,Assumptions!$G$20,IF(F178&lt;=730,Assumptions!$H$20,Assumptions!$I$20))</f>
        <v>0</v>
      </c>
      <c r="J178" s="35" t="n">
        <f aca="false">H178*I178</f>
        <v>0</v>
      </c>
      <c r="K178" s="35" t="n">
        <f aca="false">H178-J178</f>
        <v>13132.7985629219</v>
      </c>
      <c r="L178" s="35" t="n">
        <f aca="false">K178-C178</f>
        <v>7132.79856292191</v>
      </c>
      <c r="M178" s="33" t="str">
        <f aca="false">IF(F178&gt;365,"LTCG","STCG")</f>
        <v>LTCG</v>
      </c>
      <c r="N178" s="47" t="n">
        <f aca="false">IF(M178="LTCG",Assumptions!$C$12,Assumptions!$C$11)</f>
        <v>0.125</v>
      </c>
      <c r="O178" s="33" t="str">
        <f aca="false">IF(M178="STCG",MAX(L178,0)*Assumptions!$C$11,"agg. below")</f>
        <v>agg. below</v>
      </c>
    </row>
    <row r="179" customFormat="false" ht="15" hidden="false" customHeight="false" outlineLevel="1" collapsed="false">
      <c r="A179" s="38" t="str">
        <f aca="false">TEXT(SIP_Fund1_PPFAS!B52,"mmm-yyyy")</f>
        <v>Dec-2028</v>
      </c>
      <c r="B179" s="39" t="n">
        <f aca="false">SIP_Fund1_PPFAS!B52</f>
        <v>47088</v>
      </c>
      <c r="C179" s="40" t="n">
        <f aca="false">SIP_Fund1_PPFAS!C52</f>
        <v>6000</v>
      </c>
      <c r="D179" s="41" t="n">
        <f aca="false">SIP_Fund1_PPFAS!H52</f>
        <v>107.15357817167</v>
      </c>
      <c r="E179" s="42" t="n">
        <f aca="false">SIP_Fund1_PPFAS!I52</f>
        <v>55.9943970362561</v>
      </c>
      <c r="F179" s="38" t="n">
        <f aca="false">Assumptions!$C$5-B179</f>
        <v>2601</v>
      </c>
      <c r="G179" s="41" t="n">
        <f aca="false">Assumptions!$D$20*(1+Assumptions!$F$20)^((Assumptions!$C$5-Assumptions!$C$4)/365)</f>
        <v>232.452118359096</v>
      </c>
      <c r="H179" s="40" t="n">
        <f aca="false">E179*G179</f>
        <v>13016.016207318</v>
      </c>
      <c r="I179" s="48" t="n">
        <f aca="false">IF(F179&lt;365,Assumptions!$G$20,IF(F179&lt;=730,Assumptions!$H$20,Assumptions!$I$20))</f>
        <v>0</v>
      </c>
      <c r="J179" s="40" t="n">
        <f aca="false">H179*I179</f>
        <v>0</v>
      </c>
      <c r="K179" s="40" t="n">
        <f aca="false">H179-J179</f>
        <v>13016.016207318</v>
      </c>
      <c r="L179" s="40" t="n">
        <f aca="false">K179-C179</f>
        <v>7016.016207318</v>
      </c>
      <c r="M179" s="38" t="str">
        <f aca="false">IF(F179&gt;365,"LTCG","STCG")</f>
        <v>LTCG</v>
      </c>
      <c r="N179" s="48" t="n">
        <f aca="false">IF(M179="LTCG",Assumptions!$C$12,Assumptions!$C$11)</f>
        <v>0.125</v>
      </c>
      <c r="O179" s="38" t="str">
        <f aca="false">IF(M179="STCG",MAX(L179,0)*Assumptions!$C$11,"agg. below")</f>
        <v>agg. below</v>
      </c>
    </row>
    <row r="180" customFormat="false" ht="15" hidden="false" customHeight="false" outlineLevel="1" collapsed="false">
      <c r="A180" s="33" t="str">
        <f aca="false">TEXT(SIP_Fund1_PPFAS!B53,"mmm-yyyy")</f>
        <v>Jan-2029</v>
      </c>
      <c r="B180" s="34" t="n">
        <f aca="false">SIP_Fund1_PPFAS!B53</f>
        <v>47119</v>
      </c>
      <c r="C180" s="35" t="n">
        <f aca="false">SIP_Fund1_PPFAS!C53</f>
        <v>7000</v>
      </c>
      <c r="D180" s="36" t="n">
        <f aca="false">SIP_Fund1_PPFAS!H53</f>
        <v>108.147176881082</v>
      </c>
      <c r="E180" s="37" t="n">
        <f aca="false">SIP_Fund1_PPFAS!I53</f>
        <v>64.7266087000791</v>
      </c>
      <c r="F180" s="33" t="n">
        <f aca="false">Assumptions!$C$5-B180</f>
        <v>2570</v>
      </c>
      <c r="G180" s="36" t="n">
        <f aca="false">Assumptions!$D$20*(1+Assumptions!$F$20)^((Assumptions!$C$5-Assumptions!$C$4)/365)</f>
        <v>232.452118359096</v>
      </c>
      <c r="H180" s="35" t="n">
        <f aca="false">E180*G180</f>
        <v>15045.8373065337</v>
      </c>
      <c r="I180" s="47" t="n">
        <f aca="false">IF(F180&lt;365,Assumptions!$G$20,IF(F180&lt;=730,Assumptions!$H$20,Assumptions!$I$20))</f>
        <v>0</v>
      </c>
      <c r="J180" s="35" t="n">
        <f aca="false">H180*I180</f>
        <v>0</v>
      </c>
      <c r="K180" s="35" t="n">
        <f aca="false">H180-J180</f>
        <v>15045.8373065337</v>
      </c>
      <c r="L180" s="35" t="n">
        <f aca="false">K180-C180</f>
        <v>8045.83730653366</v>
      </c>
      <c r="M180" s="33" t="str">
        <f aca="false">IF(F180&gt;365,"LTCG","STCG")</f>
        <v>LTCG</v>
      </c>
      <c r="N180" s="47" t="n">
        <f aca="false">IF(M180="LTCG",Assumptions!$C$12,Assumptions!$C$11)</f>
        <v>0.125</v>
      </c>
      <c r="O180" s="33" t="str">
        <f aca="false">IF(M180="STCG",MAX(L180,0)*Assumptions!$C$11,"agg. below")</f>
        <v>agg. below</v>
      </c>
    </row>
    <row r="181" customFormat="false" ht="15" hidden="false" customHeight="false" outlineLevel="1" collapsed="false">
      <c r="A181" s="38" t="str">
        <f aca="false">TEXT(SIP_Fund1_PPFAS!B54,"mmm-yyyy")</f>
        <v>Feb-2029</v>
      </c>
      <c r="B181" s="39" t="n">
        <f aca="false">SIP_Fund1_PPFAS!B54</f>
        <v>47150</v>
      </c>
      <c r="C181" s="40" t="n">
        <f aca="false">SIP_Fund1_PPFAS!C54</f>
        <v>7000</v>
      </c>
      <c r="D181" s="41" t="n">
        <f aca="false">SIP_Fund1_PPFAS!H54</f>
        <v>109.149988893606</v>
      </c>
      <c r="E181" s="42" t="n">
        <f aca="false">SIP_Fund1_PPFAS!I54</f>
        <v>64.1319350643568</v>
      </c>
      <c r="F181" s="38" t="n">
        <f aca="false">Assumptions!$C$5-B181</f>
        <v>2539</v>
      </c>
      <c r="G181" s="41" t="n">
        <f aca="false">Assumptions!$D$20*(1+Assumptions!$F$20)^((Assumptions!$C$5-Assumptions!$C$4)/365)</f>
        <v>232.452118359096</v>
      </c>
      <c r="H181" s="40" t="n">
        <f aca="false">E181*G181</f>
        <v>14907.6041601777</v>
      </c>
      <c r="I181" s="48" t="n">
        <f aca="false">IF(F181&lt;365,Assumptions!$G$20,IF(F181&lt;=730,Assumptions!$H$20,Assumptions!$I$20))</f>
        <v>0</v>
      </c>
      <c r="J181" s="40" t="n">
        <f aca="false">H181*I181</f>
        <v>0</v>
      </c>
      <c r="K181" s="40" t="n">
        <f aca="false">H181-J181</f>
        <v>14907.6041601777</v>
      </c>
      <c r="L181" s="40" t="n">
        <f aca="false">K181-C181</f>
        <v>7907.60416017771</v>
      </c>
      <c r="M181" s="38" t="str">
        <f aca="false">IF(F181&gt;365,"LTCG","STCG")</f>
        <v>LTCG</v>
      </c>
      <c r="N181" s="48" t="n">
        <f aca="false">IF(M181="LTCG",Assumptions!$C$12,Assumptions!$C$11)</f>
        <v>0.125</v>
      </c>
      <c r="O181" s="38" t="str">
        <f aca="false">IF(M181="STCG",MAX(L181,0)*Assumptions!$C$11,"agg. below")</f>
        <v>agg. below</v>
      </c>
    </row>
    <row r="182" customFormat="false" ht="15" hidden="false" customHeight="false" outlineLevel="1" collapsed="false">
      <c r="A182" s="33" t="str">
        <f aca="false">TEXT(SIP_Fund1_PPFAS!B55,"mmm-yyyy")</f>
        <v>Mar-2029</v>
      </c>
      <c r="B182" s="34" t="n">
        <f aca="false">SIP_Fund1_PPFAS!B55</f>
        <v>47178</v>
      </c>
      <c r="C182" s="35" t="n">
        <f aca="false">SIP_Fund1_PPFAS!C55</f>
        <v>7000</v>
      </c>
      <c r="D182" s="36" t="n">
        <f aca="false">SIP_Fund1_PPFAS!H55</f>
        <v>110.063744658745</v>
      </c>
      <c r="E182" s="37" t="n">
        <f aca="false">SIP_Fund1_PPFAS!I55</f>
        <v>63.5995079188305</v>
      </c>
      <c r="F182" s="33" t="n">
        <f aca="false">Assumptions!$C$5-B182</f>
        <v>2511</v>
      </c>
      <c r="G182" s="36" t="n">
        <f aca="false">Assumptions!$D$20*(1+Assumptions!$F$20)^((Assumptions!$C$5-Assumptions!$C$4)/365)</f>
        <v>232.452118359096</v>
      </c>
      <c r="H182" s="35" t="n">
        <f aca="false">E182*G182</f>
        <v>14783.8403423282</v>
      </c>
      <c r="I182" s="47" t="n">
        <f aca="false">IF(F182&lt;365,Assumptions!$G$20,IF(F182&lt;=730,Assumptions!$H$20,Assumptions!$I$20))</f>
        <v>0</v>
      </c>
      <c r="J182" s="35" t="n">
        <f aca="false">H182*I182</f>
        <v>0</v>
      </c>
      <c r="K182" s="35" t="n">
        <f aca="false">H182-J182</f>
        <v>14783.8403423282</v>
      </c>
      <c r="L182" s="35" t="n">
        <f aca="false">K182-C182</f>
        <v>7783.84034232824</v>
      </c>
      <c r="M182" s="33" t="str">
        <f aca="false">IF(F182&gt;365,"LTCG","STCG")</f>
        <v>LTCG</v>
      </c>
      <c r="N182" s="47" t="n">
        <f aca="false">IF(M182="LTCG",Assumptions!$C$12,Assumptions!$C$11)</f>
        <v>0.125</v>
      </c>
      <c r="O182" s="33" t="str">
        <f aca="false">IF(M182="STCG",MAX(L182,0)*Assumptions!$C$11,"agg. below")</f>
        <v>agg. below</v>
      </c>
    </row>
    <row r="183" customFormat="false" ht="15" hidden="false" customHeight="false" outlineLevel="1" collapsed="false">
      <c r="A183" s="38" t="str">
        <f aca="false">TEXT(SIP_Fund1_PPFAS!B56,"mmm-yyyy")</f>
        <v>Apr-2029</v>
      </c>
      <c r="B183" s="39" t="n">
        <f aca="false">SIP_Fund1_PPFAS!B56</f>
        <v>47209</v>
      </c>
      <c r="C183" s="40" t="n">
        <f aca="false">SIP_Fund1_PPFAS!C56</f>
        <v>7000</v>
      </c>
      <c r="D183" s="41" t="n">
        <f aca="false">SIP_Fund1_PPFAS!H56</f>
        <v>111.08432835284</v>
      </c>
      <c r="E183" s="42" t="n">
        <f aca="false">SIP_Fund1_PPFAS!I56</f>
        <v>63.0151894852866</v>
      </c>
      <c r="F183" s="38" t="n">
        <f aca="false">Assumptions!$C$5-B183</f>
        <v>2480</v>
      </c>
      <c r="G183" s="41" t="n">
        <f aca="false">Assumptions!$D$20*(1+Assumptions!$F$20)^((Assumptions!$C$5-Assumptions!$C$4)/365)</f>
        <v>232.452118359096</v>
      </c>
      <c r="H183" s="40" t="n">
        <f aca="false">E183*G183</f>
        <v>14648.0142846547</v>
      </c>
      <c r="I183" s="48" t="n">
        <f aca="false">IF(F183&lt;365,Assumptions!$G$20,IF(F183&lt;=730,Assumptions!$H$20,Assumptions!$I$20))</f>
        <v>0</v>
      </c>
      <c r="J183" s="40" t="n">
        <f aca="false">H183*I183</f>
        <v>0</v>
      </c>
      <c r="K183" s="40" t="n">
        <f aca="false">H183-J183</f>
        <v>14648.0142846547</v>
      </c>
      <c r="L183" s="40" t="n">
        <f aca="false">K183-C183</f>
        <v>7648.0142846547</v>
      </c>
      <c r="M183" s="38" t="str">
        <f aca="false">IF(F183&gt;365,"LTCG","STCG")</f>
        <v>LTCG</v>
      </c>
      <c r="N183" s="48" t="n">
        <f aca="false">IF(M183="LTCG",Assumptions!$C$12,Assumptions!$C$11)</f>
        <v>0.125</v>
      </c>
      <c r="O183" s="38" t="str">
        <f aca="false">IF(M183="STCG",MAX(L183,0)*Assumptions!$C$11,"agg. below")</f>
        <v>agg. below</v>
      </c>
    </row>
    <row r="184" customFormat="false" ht="15" hidden="false" customHeight="false" outlineLevel="1" collapsed="false">
      <c r="A184" s="33" t="str">
        <f aca="false">TEXT(SIP_Fund1_PPFAS!B57,"mmm-yyyy")</f>
        <v>May-2029</v>
      </c>
      <c r="B184" s="34" t="n">
        <f aca="false">SIP_Fund1_PPFAS!B57</f>
        <v>47239</v>
      </c>
      <c r="C184" s="35" t="n">
        <f aca="false">SIP_Fund1_PPFAS!C57</f>
        <v>7000</v>
      </c>
      <c r="D184" s="36" t="n">
        <f aca="false">SIP_Fund1_PPFAS!H57</f>
        <v>112.080999632984</v>
      </c>
      <c r="E184" s="37" t="n">
        <f aca="false">SIP_Fund1_PPFAS!I57</f>
        <v>62.4548319779617</v>
      </c>
      <c r="F184" s="33" t="n">
        <f aca="false">Assumptions!$C$5-B184</f>
        <v>2450</v>
      </c>
      <c r="G184" s="36" t="n">
        <f aca="false">Assumptions!$D$20*(1+Assumptions!$F$20)^((Assumptions!$C$5-Assumptions!$C$4)/365)</f>
        <v>232.452118359096</v>
      </c>
      <c r="H184" s="35" t="n">
        <f aca="false">E184*G184</f>
        <v>14517.7579950386</v>
      </c>
      <c r="I184" s="47" t="n">
        <f aca="false">IF(F184&lt;365,Assumptions!$G$20,IF(F184&lt;=730,Assumptions!$H$20,Assumptions!$I$20))</f>
        <v>0</v>
      </c>
      <c r="J184" s="35" t="n">
        <f aca="false">H184*I184</f>
        <v>0</v>
      </c>
      <c r="K184" s="35" t="n">
        <f aca="false">H184-J184</f>
        <v>14517.7579950386</v>
      </c>
      <c r="L184" s="35" t="n">
        <f aca="false">K184-C184</f>
        <v>7517.7579950386</v>
      </c>
      <c r="M184" s="33" t="str">
        <f aca="false">IF(F184&gt;365,"LTCG","STCG")</f>
        <v>LTCG</v>
      </c>
      <c r="N184" s="47" t="n">
        <f aca="false">IF(M184="LTCG",Assumptions!$C$12,Assumptions!$C$11)</f>
        <v>0.125</v>
      </c>
      <c r="O184" s="33" t="str">
        <f aca="false">IF(M184="STCG",MAX(L184,0)*Assumptions!$C$11,"agg. below")</f>
        <v>agg. below</v>
      </c>
    </row>
    <row r="185" customFormat="false" ht="15" hidden="false" customHeight="false" outlineLevel="1" collapsed="false">
      <c r="A185" s="38" t="str">
        <f aca="false">TEXT(SIP_Fund1_PPFAS!B58,"mmm-yyyy")</f>
        <v>Jun-2029</v>
      </c>
      <c r="B185" s="39" t="n">
        <f aca="false">SIP_Fund1_PPFAS!B58</f>
        <v>47270</v>
      </c>
      <c r="C185" s="40" t="n">
        <f aca="false">SIP_Fund1_PPFAS!C58</f>
        <v>7000</v>
      </c>
      <c r="D185" s="41" t="n">
        <f aca="false">SIP_Fund1_PPFAS!H58</f>
        <v>113.1202886468</v>
      </c>
      <c r="E185" s="42" t="n">
        <f aca="false">SIP_Fund1_PPFAS!I58</f>
        <v>61.88103021781</v>
      </c>
      <c r="F185" s="38" t="n">
        <f aca="false">Assumptions!$C$5-B185</f>
        <v>2419</v>
      </c>
      <c r="G185" s="41" t="n">
        <f aca="false">Assumptions!$D$20*(1+Assumptions!$F$20)^((Assumptions!$C$5-Assumptions!$C$4)/365)</f>
        <v>232.452118359096</v>
      </c>
      <c r="H185" s="40" t="n">
        <f aca="false">E185*G185</f>
        <v>14384.3765603732</v>
      </c>
      <c r="I185" s="48" t="n">
        <f aca="false">IF(F185&lt;365,Assumptions!$G$20,IF(F185&lt;=730,Assumptions!$H$20,Assumptions!$I$20))</f>
        <v>0</v>
      </c>
      <c r="J185" s="40" t="n">
        <f aca="false">H185*I185</f>
        <v>0</v>
      </c>
      <c r="K185" s="40" t="n">
        <f aca="false">H185-J185</f>
        <v>14384.3765603732</v>
      </c>
      <c r="L185" s="40" t="n">
        <f aca="false">K185-C185</f>
        <v>7384.37656037315</v>
      </c>
      <c r="M185" s="38" t="str">
        <f aca="false">IF(F185&gt;365,"LTCG","STCG")</f>
        <v>LTCG</v>
      </c>
      <c r="N185" s="48" t="n">
        <f aca="false">IF(M185="LTCG",Assumptions!$C$12,Assumptions!$C$11)</f>
        <v>0.125</v>
      </c>
      <c r="O185" s="38" t="str">
        <f aca="false">IF(M185="STCG",MAX(L185,0)*Assumptions!$C$11,"agg. below")</f>
        <v>agg. below</v>
      </c>
    </row>
    <row r="186" customFormat="false" ht="15" hidden="false" customHeight="false" outlineLevel="1" collapsed="false">
      <c r="A186" s="33" t="str">
        <f aca="false">TEXT(SIP_Fund1_PPFAS!B59,"mmm-yyyy")</f>
        <v>Jul-2029</v>
      </c>
      <c r="B186" s="34" t="n">
        <f aca="false">SIP_Fund1_PPFAS!B59</f>
        <v>47300</v>
      </c>
      <c r="C186" s="35" t="n">
        <f aca="false">SIP_Fund1_PPFAS!C59</f>
        <v>7000</v>
      </c>
      <c r="D186" s="36" t="n">
        <f aca="false">SIP_Fund1_PPFAS!H59</f>
        <v>114.135226978495</v>
      </c>
      <c r="E186" s="37" t="n">
        <f aca="false">SIP_Fund1_PPFAS!I59</f>
        <v>61.3307581306072</v>
      </c>
      <c r="F186" s="33" t="n">
        <f aca="false">Assumptions!$C$5-B186</f>
        <v>2389</v>
      </c>
      <c r="G186" s="36" t="n">
        <f aca="false">Assumptions!$D$20*(1+Assumptions!$F$20)^((Assumptions!$C$5-Assumptions!$C$4)/365)</f>
        <v>232.452118359096</v>
      </c>
      <c r="H186" s="35" t="n">
        <f aca="false">E186*G186</f>
        <v>14256.464648029</v>
      </c>
      <c r="I186" s="47" t="n">
        <f aca="false">IF(F186&lt;365,Assumptions!$G$20,IF(F186&lt;=730,Assumptions!$H$20,Assumptions!$I$20))</f>
        <v>0</v>
      </c>
      <c r="J186" s="35" t="n">
        <f aca="false">H186*I186</f>
        <v>0</v>
      </c>
      <c r="K186" s="35" t="n">
        <f aca="false">H186-J186</f>
        <v>14256.464648029</v>
      </c>
      <c r="L186" s="35" t="n">
        <f aca="false">K186-C186</f>
        <v>7256.46464802898</v>
      </c>
      <c r="M186" s="33" t="str">
        <f aca="false">IF(F186&gt;365,"LTCG","STCG")</f>
        <v>LTCG</v>
      </c>
      <c r="N186" s="47" t="n">
        <f aca="false">IF(M186="LTCG",Assumptions!$C$12,Assumptions!$C$11)</f>
        <v>0.125</v>
      </c>
      <c r="O186" s="33" t="str">
        <f aca="false">IF(M186="STCG",MAX(L186,0)*Assumptions!$C$11,"agg. below")</f>
        <v>agg. below</v>
      </c>
    </row>
    <row r="187" customFormat="false" ht="15" hidden="false" customHeight="false" outlineLevel="1" collapsed="false">
      <c r="A187" s="38" t="str">
        <f aca="false">TEXT(SIP_Fund1_PPFAS!B60,"mmm-yyyy")</f>
        <v>Aug-2029</v>
      </c>
      <c r="B187" s="39" t="n">
        <f aca="false">SIP_Fund1_PPFAS!B60</f>
        <v>47331</v>
      </c>
      <c r="C187" s="40" t="n">
        <f aca="false">SIP_Fund1_PPFAS!C60</f>
        <v>7000</v>
      </c>
      <c r="D187" s="41" t="n">
        <f aca="false">SIP_Fund1_PPFAS!H60</f>
        <v>115.193564144263</v>
      </c>
      <c r="E187" s="42" t="n">
        <f aca="false">SIP_Fund1_PPFAS!I60</f>
        <v>60.767283762776</v>
      </c>
      <c r="F187" s="38" t="n">
        <f aca="false">Assumptions!$C$5-B187</f>
        <v>2358</v>
      </c>
      <c r="G187" s="41" t="n">
        <f aca="false">Assumptions!$D$20*(1+Assumptions!$F$20)^((Assumptions!$C$5-Assumptions!$C$4)/365)</f>
        <v>232.452118359096</v>
      </c>
      <c r="H187" s="40" t="n">
        <f aca="false">E187*G187</f>
        <v>14125.4838375856</v>
      </c>
      <c r="I187" s="48" t="n">
        <f aca="false">IF(F187&lt;365,Assumptions!$G$20,IF(F187&lt;=730,Assumptions!$H$20,Assumptions!$I$20))</f>
        <v>0</v>
      </c>
      <c r="J187" s="40" t="n">
        <f aca="false">H187*I187</f>
        <v>0</v>
      </c>
      <c r="K187" s="40" t="n">
        <f aca="false">H187-J187</f>
        <v>14125.4838375856</v>
      </c>
      <c r="L187" s="40" t="n">
        <f aca="false">K187-C187</f>
        <v>7125.48383758557</v>
      </c>
      <c r="M187" s="38" t="str">
        <f aca="false">IF(F187&gt;365,"LTCG","STCG")</f>
        <v>LTCG</v>
      </c>
      <c r="N187" s="48" t="n">
        <f aca="false">IF(M187="LTCG",Assumptions!$C$12,Assumptions!$C$11)</f>
        <v>0.125</v>
      </c>
      <c r="O187" s="38" t="str">
        <f aca="false">IF(M187="STCG",MAX(L187,0)*Assumptions!$C$11,"agg. below")</f>
        <v>agg. below</v>
      </c>
    </row>
    <row r="188" customFormat="false" ht="15" hidden="false" customHeight="false" outlineLevel="1" collapsed="false">
      <c r="A188" s="33" t="str">
        <f aca="false">TEXT(SIP_Fund1_PPFAS!B61,"mmm-yyyy")</f>
        <v>Sep-2029</v>
      </c>
      <c r="B188" s="34" t="n">
        <f aca="false">SIP_Fund1_PPFAS!B61</f>
        <v>47362</v>
      </c>
      <c r="C188" s="35" t="n">
        <f aca="false">SIP_Fund1_PPFAS!C61</f>
        <v>7000</v>
      </c>
      <c r="D188" s="36" t="n">
        <f aca="false">SIP_Fund1_PPFAS!H61</f>
        <v>116.261714910847</v>
      </c>
      <c r="E188" s="37" t="n">
        <f aca="false">SIP_Fund1_PPFAS!I61</f>
        <v>60.2089862975771</v>
      </c>
      <c r="F188" s="33" t="n">
        <f aca="false">Assumptions!$C$5-B188</f>
        <v>2327</v>
      </c>
      <c r="G188" s="36" t="n">
        <f aca="false">Assumptions!$D$20*(1+Assumptions!$F$20)^((Assumptions!$C$5-Assumptions!$C$4)/365)</f>
        <v>232.452118359096</v>
      </c>
      <c r="H188" s="35" t="n">
        <f aca="false">E188*G188</f>
        <v>13995.7064091256</v>
      </c>
      <c r="I188" s="47" t="n">
        <f aca="false">IF(F188&lt;365,Assumptions!$G$20,IF(F188&lt;=730,Assumptions!$H$20,Assumptions!$I$20))</f>
        <v>0</v>
      </c>
      <c r="J188" s="35" t="n">
        <f aca="false">H188*I188</f>
        <v>0</v>
      </c>
      <c r="K188" s="35" t="n">
        <f aca="false">H188-J188</f>
        <v>13995.7064091256</v>
      </c>
      <c r="L188" s="35" t="n">
        <f aca="false">K188-C188</f>
        <v>6995.70640912557</v>
      </c>
      <c r="M188" s="33" t="str">
        <f aca="false">IF(F188&gt;365,"LTCG","STCG")</f>
        <v>LTCG</v>
      </c>
      <c r="N188" s="47" t="n">
        <f aca="false">IF(M188="LTCG",Assumptions!$C$12,Assumptions!$C$11)</f>
        <v>0.125</v>
      </c>
      <c r="O188" s="33" t="str">
        <f aca="false">IF(M188="STCG",MAX(L188,0)*Assumptions!$C$11,"agg. below")</f>
        <v>agg. below</v>
      </c>
    </row>
    <row r="189" customFormat="false" ht="15" hidden="false" customHeight="false" outlineLevel="1" collapsed="false">
      <c r="A189" s="38" t="str">
        <f aca="false">TEXT(SIP_Fund1_PPFAS!B62,"mmm-yyyy")</f>
        <v>Oct-2029</v>
      </c>
      <c r="B189" s="39" t="n">
        <f aca="false">SIP_Fund1_PPFAS!B62</f>
        <v>47392</v>
      </c>
      <c r="C189" s="40" t="n">
        <f aca="false">SIP_Fund1_PPFAS!C62</f>
        <v>7000</v>
      </c>
      <c r="D189" s="41" t="n">
        <f aca="false">SIP_Fund1_PPFAS!H62</f>
        <v>117.30483876054</v>
      </c>
      <c r="E189" s="42" t="n">
        <f aca="false">SIP_Fund1_PPFAS!I62</f>
        <v>59.6735827265358</v>
      </c>
      <c r="F189" s="38" t="n">
        <f aca="false">Assumptions!$C$5-B189</f>
        <v>2297</v>
      </c>
      <c r="G189" s="41" t="n">
        <f aca="false">Assumptions!$D$20*(1+Assumptions!$F$20)^((Assumptions!$C$5-Assumptions!$C$4)/365)</f>
        <v>232.452118359096</v>
      </c>
      <c r="H189" s="40" t="n">
        <f aca="false">E189*G189</f>
        <v>13871.25071486</v>
      </c>
      <c r="I189" s="48" t="n">
        <f aca="false">IF(F189&lt;365,Assumptions!$G$20,IF(F189&lt;=730,Assumptions!$H$20,Assumptions!$I$20))</f>
        <v>0</v>
      </c>
      <c r="J189" s="40" t="n">
        <f aca="false">H189*I189</f>
        <v>0</v>
      </c>
      <c r="K189" s="40" t="n">
        <f aca="false">H189-J189</f>
        <v>13871.25071486</v>
      </c>
      <c r="L189" s="40" t="n">
        <f aca="false">K189-C189</f>
        <v>6871.25071485999</v>
      </c>
      <c r="M189" s="38" t="str">
        <f aca="false">IF(F189&gt;365,"LTCG","STCG")</f>
        <v>LTCG</v>
      </c>
      <c r="N189" s="48" t="n">
        <f aca="false">IF(M189="LTCG",Assumptions!$C$12,Assumptions!$C$11)</f>
        <v>0.125</v>
      </c>
      <c r="O189" s="38" t="str">
        <f aca="false">IF(M189="STCG",MAX(L189,0)*Assumptions!$C$11,"agg. below")</f>
        <v>agg. below</v>
      </c>
    </row>
    <row r="190" customFormat="false" ht="15" hidden="false" customHeight="false" outlineLevel="1" collapsed="false">
      <c r="A190" s="33" t="str">
        <f aca="false">TEXT(SIP_Fund1_PPFAS!B63,"mmm-yyyy")</f>
        <v>Nov-2029</v>
      </c>
      <c r="B190" s="34" t="n">
        <f aca="false">SIP_Fund1_PPFAS!B63</f>
        <v>47423</v>
      </c>
      <c r="C190" s="35" t="n">
        <f aca="false">SIP_Fund1_PPFAS!C63</f>
        <v>7000</v>
      </c>
      <c r="D190" s="36" t="n">
        <f aca="false">SIP_Fund1_PPFAS!H63</f>
        <v>118.392566659028</v>
      </c>
      <c r="E190" s="37" t="n">
        <f aca="false">SIP_Fund1_PPFAS!I63</f>
        <v>59.1253336044321</v>
      </c>
      <c r="F190" s="33" t="n">
        <f aca="false">Assumptions!$C$5-B190</f>
        <v>2266</v>
      </c>
      <c r="G190" s="36" t="n">
        <f aca="false">Assumptions!$D$20*(1+Assumptions!$F$20)^((Assumptions!$C$5-Assumptions!$C$4)/365)</f>
        <v>232.452118359096</v>
      </c>
      <c r="H190" s="35" t="n">
        <f aca="false">E190*G190</f>
        <v>13743.8090450385</v>
      </c>
      <c r="I190" s="47" t="n">
        <f aca="false">IF(F190&lt;365,Assumptions!$G$20,IF(F190&lt;=730,Assumptions!$H$20,Assumptions!$I$20))</f>
        <v>0</v>
      </c>
      <c r="J190" s="35" t="n">
        <f aca="false">H190*I190</f>
        <v>0</v>
      </c>
      <c r="K190" s="35" t="n">
        <f aca="false">H190-J190</f>
        <v>13743.8090450385</v>
      </c>
      <c r="L190" s="35" t="n">
        <f aca="false">K190-C190</f>
        <v>6743.80904503848</v>
      </c>
      <c r="M190" s="33" t="str">
        <f aca="false">IF(F190&gt;365,"LTCG","STCG")</f>
        <v>LTCG</v>
      </c>
      <c r="N190" s="47" t="n">
        <f aca="false">IF(M190="LTCG",Assumptions!$C$12,Assumptions!$C$11)</f>
        <v>0.125</v>
      </c>
      <c r="O190" s="33" t="str">
        <f aca="false">IF(M190="STCG",MAX(L190,0)*Assumptions!$C$11,"agg. below")</f>
        <v>agg. below</v>
      </c>
    </row>
    <row r="191" customFormat="false" ht="15" hidden="false" customHeight="false" outlineLevel="1" collapsed="false">
      <c r="A191" s="38" t="str">
        <f aca="false">TEXT(SIP_Fund1_PPFAS!B64,"mmm-yyyy")</f>
        <v>Dec-2029</v>
      </c>
      <c r="B191" s="39" t="n">
        <f aca="false">SIP_Fund1_PPFAS!B64</f>
        <v>47453</v>
      </c>
      <c r="C191" s="40" t="n">
        <f aca="false">SIP_Fund1_PPFAS!C64</f>
        <v>7000</v>
      </c>
      <c r="D191" s="41" t="n">
        <f aca="false">SIP_Fund1_PPFAS!H64</f>
        <v>119.454808945778</v>
      </c>
      <c r="E191" s="42" t="n">
        <f aca="false">SIP_Fund1_PPFAS!I64</f>
        <v>58.5995663278604</v>
      </c>
      <c r="F191" s="38" t="n">
        <f aca="false">Assumptions!$C$5-B191</f>
        <v>2236</v>
      </c>
      <c r="G191" s="41" t="n">
        <f aca="false">Assumptions!$D$20*(1+Assumptions!$F$20)^((Assumptions!$C$5-Assumptions!$C$4)/365)</f>
        <v>232.452118359096</v>
      </c>
      <c r="H191" s="40" t="n">
        <f aca="false">E191*G191</f>
        <v>13621.5933278355</v>
      </c>
      <c r="I191" s="48" t="n">
        <f aca="false">IF(F191&lt;365,Assumptions!$G$20,IF(F191&lt;=730,Assumptions!$H$20,Assumptions!$I$20))</f>
        <v>0</v>
      </c>
      <c r="J191" s="40" t="n">
        <f aca="false">H191*I191</f>
        <v>0</v>
      </c>
      <c r="K191" s="40" t="n">
        <f aca="false">H191-J191</f>
        <v>13621.5933278355</v>
      </c>
      <c r="L191" s="40" t="n">
        <f aca="false">K191-C191</f>
        <v>6621.59332783548</v>
      </c>
      <c r="M191" s="38" t="str">
        <f aca="false">IF(F191&gt;365,"LTCG","STCG")</f>
        <v>LTCG</v>
      </c>
      <c r="N191" s="48" t="n">
        <f aca="false">IF(M191="LTCG",Assumptions!$C$12,Assumptions!$C$11)</f>
        <v>0.125</v>
      </c>
      <c r="O191" s="38" t="str">
        <f aca="false">IF(M191="STCG",MAX(L191,0)*Assumptions!$C$11,"agg. below")</f>
        <v>agg. below</v>
      </c>
    </row>
    <row r="192" customFormat="false" ht="15" hidden="false" customHeight="false" outlineLevel="1" collapsed="false">
      <c r="A192" s="33" t="str">
        <f aca="false">TEXT(SIP_Fund1_PPFAS!B65,"mmm-yyyy")</f>
        <v>Jan-2030</v>
      </c>
      <c r="B192" s="34" t="n">
        <f aca="false">SIP_Fund1_PPFAS!B65</f>
        <v>47484</v>
      </c>
      <c r="C192" s="35" t="n">
        <f aca="false">SIP_Fund1_PPFAS!C65</f>
        <v>8000</v>
      </c>
      <c r="D192" s="36" t="n">
        <f aca="false">SIP_Fund1_PPFAS!H65</f>
        <v>120.56247278703</v>
      </c>
      <c r="E192" s="37" t="n">
        <f aca="false">SIP_Fund1_PPFAS!I65</f>
        <v>66.3556396535743</v>
      </c>
      <c r="F192" s="33" t="n">
        <f aca="false">Assumptions!$C$5-B192</f>
        <v>2205</v>
      </c>
      <c r="G192" s="36" t="n">
        <f aca="false">Assumptions!$D$20*(1+Assumptions!$F$20)^((Assumptions!$C$5-Assumptions!$C$4)/365)</f>
        <v>232.452118359096</v>
      </c>
      <c r="H192" s="35" t="n">
        <f aca="false">E192*G192</f>
        <v>15424.5090025462</v>
      </c>
      <c r="I192" s="47" t="n">
        <f aca="false">IF(F192&lt;365,Assumptions!$G$20,IF(F192&lt;=730,Assumptions!$H$20,Assumptions!$I$20))</f>
        <v>0</v>
      </c>
      <c r="J192" s="35" t="n">
        <f aca="false">H192*I192</f>
        <v>0</v>
      </c>
      <c r="K192" s="35" t="n">
        <f aca="false">H192-J192</f>
        <v>15424.5090025462</v>
      </c>
      <c r="L192" s="35" t="n">
        <f aca="false">K192-C192</f>
        <v>7424.50900254617</v>
      </c>
      <c r="M192" s="33" t="str">
        <f aca="false">IF(F192&gt;365,"LTCG","STCG")</f>
        <v>LTCG</v>
      </c>
      <c r="N192" s="47" t="n">
        <f aca="false">IF(M192="LTCG",Assumptions!$C$12,Assumptions!$C$11)</f>
        <v>0.125</v>
      </c>
      <c r="O192" s="33" t="str">
        <f aca="false">IF(M192="STCG",MAX(L192,0)*Assumptions!$C$11,"agg. below")</f>
        <v>agg. below</v>
      </c>
    </row>
    <row r="193" customFormat="false" ht="15" hidden="false" customHeight="false" outlineLevel="1" collapsed="false">
      <c r="A193" s="38" t="str">
        <f aca="false">TEXT(SIP_Fund1_PPFAS!B66,"mmm-yyyy")</f>
        <v>Feb-2030</v>
      </c>
      <c r="B193" s="39" t="n">
        <f aca="false">SIP_Fund1_PPFAS!B66</f>
        <v>47515</v>
      </c>
      <c r="C193" s="40" t="n">
        <f aca="false">SIP_Fund1_PPFAS!C66</f>
        <v>8000</v>
      </c>
      <c r="D193" s="41" t="n">
        <f aca="false">SIP_Fund1_PPFAS!H66</f>
        <v>121.680407618592</v>
      </c>
      <c r="E193" s="42" t="n">
        <f aca="false">SIP_Fund1_PPFAS!I66</f>
        <v>65.745999348359</v>
      </c>
      <c r="F193" s="38" t="n">
        <f aca="false">Assumptions!$C$5-B193</f>
        <v>2174</v>
      </c>
      <c r="G193" s="41" t="n">
        <f aca="false">Assumptions!$D$20*(1+Assumptions!$F$20)^((Assumptions!$C$5-Assumptions!$C$4)/365)</f>
        <v>232.452118359096</v>
      </c>
      <c r="H193" s="40" t="n">
        <f aca="false">E193*G193</f>
        <v>15282.7968221618</v>
      </c>
      <c r="I193" s="48" t="n">
        <f aca="false">IF(F193&lt;365,Assumptions!$G$20,IF(F193&lt;=730,Assumptions!$H$20,Assumptions!$I$20))</f>
        <v>0</v>
      </c>
      <c r="J193" s="40" t="n">
        <f aca="false">H193*I193</f>
        <v>0</v>
      </c>
      <c r="K193" s="40" t="n">
        <f aca="false">H193-J193</f>
        <v>15282.7968221618</v>
      </c>
      <c r="L193" s="40" t="n">
        <f aca="false">K193-C193</f>
        <v>7282.79682216178</v>
      </c>
      <c r="M193" s="38" t="str">
        <f aca="false">IF(F193&gt;365,"LTCG","STCG")</f>
        <v>LTCG</v>
      </c>
      <c r="N193" s="48" t="n">
        <f aca="false">IF(M193="LTCG",Assumptions!$C$12,Assumptions!$C$11)</f>
        <v>0.125</v>
      </c>
      <c r="O193" s="38" t="str">
        <f aca="false">IF(M193="STCG",MAX(L193,0)*Assumptions!$C$11,"agg. below")</f>
        <v>agg. below</v>
      </c>
    </row>
    <row r="194" customFormat="false" ht="15" hidden="false" customHeight="false" outlineLevel="1" collapsed="false">
      <c r="A194" s="33" t="str">
        <f aca="false">TEXT(SIP_Fund1_PPFAS!B67,"mmm-yyyy")</f>
        <v>Mar-2030</v>
      </c>
      <c r="B194" s="34" t="n">
        <f aca="false">SIP_Fund1_PPFAS!B67</f>
        <v>47543</v>
      </c>
      <c r="C194" s="35" t="n">
        <f aca="false">SIP_Fund1_PPFAS!C67</f>
        <v>8000</v>
      </c>
      <c r="D194" s="36" t="n">
        <f aca="false">SIP_Fund1_PPFAS!H67</f>
        <v>122.699062545569</v>
      </c>
      <c r="E194" s="37" t="n">
        <f aca="false">SIP_Fund1_PPFAS!I67</f>
        <v>65.20017214499</v>
      </c>
      <c r="F194" s="33" t="n">
        <f aca="false">Assumptions!$C$5-B194</f>
        <v>2146</v>
      </c>
      <c r="G194" s="36" t="n">
        <f aca="false">Assumptions!$D$20*(1+Assumptions!$F$20)^((Assumptions!$C$5-Assumptions!$C$4)/365)</f>
        <v>232.452118359096</v>
      </c>
      <c r="H194" s="35" t="n">
        <f aca="false">E194*G194</f>
        <v>15155.9181324806</v>
      </c>
      <c r="I194" s="47" t="n">
        <f aca="false">IF(F194&lt;365,Assumptions!$G$20,IF(F194&lt;=730,Assumptions!$H$20,Assumptions!$I$20))</f>
        <v>0</v>
      </c>
      <c r="J194" s="35" t="n">
        <f aca="false">H194*I194</f>
        <v>0</v>
      </c>
      <c r="K194" s="35" t="n">
        <f aca="false">H194-J194</f>
        <v>15155.9181324806</v>
      </c>
      <c r="L194" s="35" t="n">
        <f aca="false">K194-C194</f>
        <v>7155.91813248064</v>
      </c>
      <c r="M194" s="33" t="str">
        <f aca="false">IF(F194&gt;365,"LTCG","STCG")</f>
        <v>LTCG</v>
      </c>
      <c r="N194" s="47" t="n">
        <f aca="false">IF(M194="LTCG",Assumptions!$C$12,Assumptions!$C$11)</f>
        <v>0.125</v>
      </c>
      <c r="O194" s="33" t="str">
        <f aca="false">IF(M194="STCG",MAX(L194,0)*Assumptions!$C$11,"agg. below")</f>
        <v>agg. below</v>
      </c>
    </row>
    <row r="195" customFormat="false" ht="15" hidden="false" customHeight="false" outlineLevel="1" collapsed="false">
      <c r="A195" s="38" t="str">
        <f aca="false">TEXT(SIP_Fund1_PPFAS!B68,"mmm-yyyy")</f>
        <v>Apr-2030</v>
      </c>
      <c r="B195" s="39" t="n">
        <f aca="false">SIP_Fund1_PPFAS!B68</f>
        <v>47574</v>
      </c>
      <c r="C195" s="40" t="n">
        <f aca="false">SIP_Fund1_PPFAS!C68</f>
        <v>8000</v>
      </c>
      <c r="D195" s="41" t="n">
        <f aca="false">SIP_Fund1_PPFAS!H68</f>
        <v>123.836809247746</v>
      </c>
      <c r="E195" s="42" t="n">
        <f aca="false">SIP_Fund1_PPFAS!I68</f>
        <v>64.6011476603482</v>
      </c>
      <c r="F195" s="38" t="n">
        <f aca="false">Assumptions!$C$5-B195</f>
        <v>2115</v>
      </c>
      <c r="G195" s="41" t="n">
        <f aca="false">Assumptions!$D$20*(1+Assumptions!$F$20)^((Assumptions!$C$5-Assumptions!$C$4)/365)</f>
        <v>232.452118359096</v>
      </c>
      <c r="H195" s="40" t="n">
        <f aca="false">E195*G195</f>
        <v>15016.6736220767</v>
      </c>
      <c r="I195" s="48" t="n">
        <f aca="false">IF(F195&lt;365,Assumptions!$G$20,IF(F195&lt;=730,Assumptions!$H$20,Assumptions!$I$20))</f>
        <v>0</v>
      </c>
      <c r="J195" s="40" t="n">
        <f aca="false">H195*I195</f>
        <v>0</v>
      </c>
      <c r="K195" s="40" t="n">
        <f aca="false">H195-J195</f>
        <v>15016.6736220767</v>
      </c>
      <c r="L195" s="40" t="n">
        <f aca="false">K195-C195</f>
        <v>7016.67362207668</v>
      </c>
      <c r="M195" s="38" t="str">
        <f aca="false">IF(F195&gt;365,"LTCG","STCG")</f>
        <v>LTCG</v>
      </c>
      <c r="N195" s="48" t="n">
        <f aca="false">IF(M195="LTCG",Assumptions!$C$12,Assumptions!$C$11)</f>
        <v>0.125</v>
      </c>
      <c r="O195" s="38" t="str">
        <f aca="false">IF(M195="STCG",MAX(L195,0)*Assumptions!$C$11,"agg. below")</f>
        <v>agg. below</v>
      </c>
    </row>
    <row r="196" customFormat="false" ht="15" hidden="false" customHeight="false" outlineLevel="1" collapsed="false">
      <c r="A196" s="33" t="str">
        <f aca="false">TEXT(SIP_Fund1_PPFAS!B69,"mmm-yyyy")</f>
        <v>May-2030</v>
      </c>
      <c r="B196" s="34" t="n">
        <f aca="false">SIP_Fund1_PPFAS!B69</f>
        <v>47604</v>
      </c>
      <c r="C196" s="35" t="n">
        <f aca="false">SIP_Fund1_PPFAS!C69</f>
        <v>8000</v>
      </c>
      <c r="D196" s="36" t="n">
        <f aca="false">SIP_Fund1_PPFAS!H69</f>
        <v>124.94789839085</v>
      </c>
      <c r="E196" s="37" t="n">
        <f aca="false">SIP_Fund1_PPFAS!I69</f>
        <v>64.0266871474312</v>
      </c>
      <c r="F196" s="33" t="n">
        <f aca="false">Assumptions!$C$5-B196</f>
        <v>2085</v>
      </c>
      <c r="G196" s="36" t="n">
        <f aca="false">Assumptions!$D$20*(1+Assumptions!$F$20)^((Assumptions!$C$5-Assumptions!$C$4)/365)</f>
        <v>232.452118359096</v>
      </c>
      <c r="H196" s="35" t="n">
        <f aca="false">E196*G196</f>
        <v>14883.1390589355</v>
      </c>
      <c r="I196" s="47" t="n">
        <f aca="false">IF(F196&lt;365,Assumptions!$G$20,IF(F196&lt;=730,Assumptions!$H$20,Assumptions!$I$20))</f>
        <v>0</v>
      </c>
      <c r="J196" s="35" t="n">
        <f aca="false">H196*I196</f>
        <v>0</v>
      </c>
      <c r="K196" s="35" t="n">
        <f aca="false">H196-J196</f>
        <v>14883.1390589355</v>
      </c>
      <c r="L196" s="35" t="n">
        <f aca="false">K196-C196</f>
        <v>6883.13905893547</v>
      </c>
      <c r="M196" s="33" t="str">
        <f aca="false">IF(F196&gt;365,"LTCG","STCG")</f>
        <v>LTCG</v>
      </c>
      <c r="N196" s="47" t="n">
        <f aca="false">IF(M196="LTCG",Assumptions!$C$12,Assumptions!$C$11)</f>
        <v>0.125</v>
      </c>
      <c r="O196" s="33" t="str">
        <f aca="false">IF(M196="STCG",MAX(L196,0)*Assumptions!$C$11,"agg. below")</f>
        <v>agg. below</v>
      </c>
    </row>
    <row r="197" customFormat="false" ht="15" hidden="false" customHeight="false" outlineLevel="1" collapsed="false">
      <c r="A197" s="38" t="str">
        <f aca="false">TEXT(SIP_Fund1_PPFAS!B70,"mmm-yyyy")</f>
        <v>Jun-2030</v>
      </c>
      <c r="B197" s="39" t="n">
        <f aca="false">SIP_Fund1_PPFAS!B70</f>
        <v>47635</v>
      </c>
      <c r="C197" s="40" t="n">
        <f aca="false">SIP_Fund1_PPFAS!C70</f>
        <v>8000</v>
      </c>
      <c r="D197" s="41" t="n">
        <f aca="false">SIP_Fund1_PPFAS!H70</f>
        <v>126.106497783452</v>
      </c>
      <c r="E197" s="42" t="n">
        <f aca="false">SIP_Fund1_PPFAS!I70</f>
        <v>63.4384440184633</v>
      </c>
      <c r="F197" s="38" t="n">
        <f aca="false">Assumptions!$C$5-B197</f>
        <v>2054</v>
      </c>
      <c r="G197" s="41" t="n">
        <f aca="false">Assumptions!$D$20*(1+Assumptions!$F$20)^((Assumptions!$C$5-Assumptions!$C$4)/365)</f>
        <v>232.452118359096</v>
      </c>
      <c r="H197" s="40" t="n">
        <f aca="false">E197*G197</f>
        <v>14746.4006974967</v>
      </c>
      <c r="I197" s="48" t="n">
        <f aca="false">IF(F197&lt;365,Assumptions!$G$20,IF(F197&lt;=730,Assumptions!$H$20,Assumptions!$I$20))</f>
        <v>0</v>
      </c>
      <c r="J197" s="40" t="n">
        <f aca="false">H197*I197</f>
        <v>0</v>
      </c>
      <c r="K197" s="40" t="n">
        <f aca="false">H197-J197</f>
        <v>14746.4006974967</v>
      </c>
      <c r="L197" s="40" t="n">
        <f aca="false">K197-C197</f>
        <v>6746.40069749669</v>
      </c>
      <c r="M197" s="38" t="str">
        <f aca="false">IF(F197&gt;365,"LTCG","STCG")</f>
        <v>LTCG</v>
      </c>
      <c r="N197" s="48" t="n">
        <f aca="false">IF(M197="LTCG",Assumptions!$C$12,Assumptions!$C$11)</f>
        <v>0.125</v>
      </c>
      <c r="O197" s="38" t="str">
        <f aca="false">IF(M197="STCG",MAX(L197,0)*Assumptions!$C$11,"agg. below")</f>
        <v>agg. below</v>
      </c>
    </row>
    <row r="198" customFormat="false" ht="15" hidden="false" customHeight="false" outlineLevel="1" collapsed="false">
      <c r="A198" s="33" t="str">
        <f aca="false">TEXT(SIP_Fund1_PPFAS!B71,"mmm-yyyy")</f>
        <v>Jul-2030</v>
      </c>
      <c r="B198" s="34" t="n">
        <f aca="false">SIP_Fund1_PPFAS!B71</f>
        <v>47665</v>
      </c>
      <c r="C198" s="35" t="n">
        <f aca="false">SIP_Fund1_PPFAS!C71</f>
        <v>8000</v>
      </c>
      <c r="D198" s="36" t="n">
        <f aca="false">SIP_Fund1_PPFAS!H71</f>
        <v>127.237951035626</v>
      </c>
      <c r="E198" s="37" t="n">
        <f aca="false">SIP_Fund1_PPFAS!I71</f>
        <v>62.8743227542234</v>
      </c>
      <c r="F198" s="33" t="n">
        <f aca="false">Assumptions!$C$5-B198</f>
        <v>2024</v>
      </c>
      <c r="G198" s="36" t="n">
        <f aca="false">Assumptions!$D$20*(1+Assumptions!$F$20)^((Assumptions!$C$5-Assumptions!$C$4)/365)</f>
        <v>232.452118359096</v>
      </c>
      <c r="H198" s="35" t="n">
        <f aca="false">E198*G198</f>
        <v>14615.2695146127</v>
      </c>
      <c r="I198" s="47" t="n">
        <f aca="false">IF(F198&lt;365,Assumptions!$G$20,IF(F198&lt;=730,Assumptions!$H$20,Assumptions!$I$20))</f>
        <v>0</v>
      </c>
      <c r="J198" s="35" t="n">
        <f aca="false">H198*I198</f>
        <v>0</v>
      </c>
      <c r="K198" s="35" t="n">
        <f aca="false">H198-J198</f>
        <v>14615.2695146127</v>
      </c>
      <c r="L198" s="35" t="n">
        <f aca="false">K198-C198</f>
        <v>6615.26951461272</v>
      </c>
      <c r="M198" s="33" t="str">
        <f aca="false">IF(F198&gt;365,"LTCG","STCG")</f>
        <v>LTCG</v>
      </c>
      <c r="N198" s="47" t="n">
        <f aca="false">IF(M198="LTCG",Assumptions!$C$12,Assumptions!$C$11)</f>
        <v>0.125</v>
      </c>
      <c r="O198" s="33" t="str">
        <f aca="false">IF(M198="STCG",MAX(L198,0)*Assumptions!$C$11,"agg. below")</f>
        <v>agg. below</v>
      </c>
    </row>
    <row r="199" customFormat="false" ht="15" hidden="false" customHeight="false" outlineLevel="1" collapsed="false">
      <c r="A199" s="38" t="str">
        <f aca="false">TEXT(SIP_Fund1_PPFAS!B72,"mmm-yyyy")</f>
        <v>Aug-2030</v>
      </c>
      <c r="B199" s="39" t="n">
        <f aca="false">SIP_Fund1_PPFAS!B72</f>
        <v>47696</v>
      </c>
      <c r="C199" s="40" t="n">
        <f aca="false">SIP_Fund1_PPFAS!C72</f>
        <v>8000</v>
      </c>
      <c r="D199" s="41" t="n">
        <f aca="false">SIP_Fund1_PPFAS!H72</f>
        <v>128.417785308025</v>
      </c>
      <c r="E199" s="42" t="n">
        <f aca="false">SIP_Fund1_PPFAS!I72</f>
        <v>62.2966669360562</v>
      </c>
      <c r="F199" s="38" t="n">
        <f aca="false">Assumptions!$C$5-B199</f>
        <v>1993</v>
      </c>
      <c r="G199" s="41" t="n">
        <f aca="false">Assumptions!$D$20*(1+Assumptions!$F$20)^((Assumptions!$C$5-Assumptions!$C$4)/365)</f>
        <v>232.452118359096</v>
      </c>
      <c r="H199" s="40" t="n">
        <f aca="false">E199*G199</f>
        <v>14480.9921959973</v>
      </c>
      <c r="I199" s="48" t="n">
        <f aca="false">IF(F199&lt;365,Assumptions!$G$20,IF(F199&lt;=730,Assumptions!$H$20,Assumptions!$I$20))</f>
        <v>0</v>
      </c>
      <c r="J199" s="40" t="n">
        <f aca="false">H199*I199</f>
        <v>0</v>
      </c>
      <c r="K199" s="40" t="n">
        <f aca="false">H199-J199</f>
        <v>14480.9921959973</v>
      </c>
      <c r="L199" s="40" t="n">
        <f aca="false">K199-C199</f>
        <v>6480.99219599731</v>
      </c>
      <c r="M199" s="38" t="str">
        <f aca="false">IF(F199&gt;365,"LTCG","STCG")</f>
        <v>LTCG</v>
      </c>
      <c r="N199" s="48" t="n">
        <f aca="false">IF(M199="LTCG",Assumptions!$C$12,Assumptions!$C$11)</f>
        <v>0.125</v>
      </c>
      <c r="O199" s="38" t="str">
        <f aca="false">IF(M199="STCG",MAX(L199,0)*Assumptions!$C$11,"agg. below")</f>
        <v>agg. below</v>
      </c>
    </row>
    <row r="200" customFormat="false" ht="15" hidden="false" customHeight="false" outlineLevel="1" collapsed="false">
      <c r="A200" s="33" t="str">
        <f aca="false">TEXT(SIP_Fund1_PPFAS!B73,"mmm-yyyy")</f>
        <v>Sep-2030</v>
      </c>
      <c r="B200" s="34" t="n">
        <f aca="false">SIP_Fund1_PPFAS!B73</f>
        <v>47727</v>
      </c>
      <c r="C200" s="35" t="n">
        <f aca="false">SIP_Fund1_PPFAS!C73</f>
        <v>8000</v>
      </c>
      <c r="D200" s="36" t="n">
        <f aca="false">SIP_Fund1_PPFAS!H73</f>
        <v>129.608559782612</v>
      </c>
      <c r="E200" s="37" t="n">
        <f aca="false">SIP_Fund1_PPFAS!I73</f>
        <v>61.7243183121401</v>
      </c>
      <c r="F200" s="33" t="n">
        <f aca="false">Assumptions!$C$5-B200</f>
        <v>1962</v>
      </c>
      <c r="G200" s="36" t="n">
        <f aca="false">Assumptions!$D$20*(1+Assumptions!$F$20)^((Assumptions!$C$5-Assumptions!$C$4)/365)</f>
        <v>232.452118359096</v>
      </c>
      <c r="H200" s="35" t="n">
        <f aca="false">E200*G200</f>
        <v>14347.9485459281</v>
      </c>
      <c r="I200" s="47" t="n">
        <f aca="false">IF(F200&lt;365,Assumptions!$G$20,IF(F200&lt;=730,Assumptions!$H$20,Assumptions!$I$20))</f>
        <v>0</v>
      </c>
      <c r="J200" s="35" t="n">
        <f aca="false">H200*I200</f>
        <v>0</v>
      </c>
      <c r="K200" s="35" t="n">
        <f aca="false">H200-J200</f>
        <v>14347.9485459281</v>
      </c>
      <c r="L200" s="35" t="n">
        <f aca="false">K200-C200</f>
        <v>6347.9485459281</v>
      </c>
      <c r="M200" s="33" t="str">
        <f aca="false">IF(F200&gt;365,"LTCG","STCG")</f>
        <v>LTCG</v>
      </c>
      <c r="N200" s="47" t="n">
        <f aca="false">IF(M200="LTCG",Assumptions!$C$12,Assumptions!$C$11)</f>
        <v>0.125</v>
      </c>
      <c r="O200" s="33" t="str">
        <f aca="false">IF(M200="STCG",MAX(L200,0)*Assumptions!$C$11,"agg. below")</f>
        <v>agg. below</v>
      </c>
    </row>
    <row r="201" customFormat="false" ht="15" hidden="false" customHeight="false" outlineLevel="1" collapsed="false">
      <c r="A201" s="38" t="str">
        <f aca="false">TEXT(SIP_Fund1_PPFAS!B74,"mmm-yyyy")</f>
        <v>Oct-2030</v>
      </c>
      <c r="B201" s="39" t="n">
        <f aca="false">SIP_Fund1_PPFAS!B74</f>
        <v>47757</v>
      </c>
      <c r="C201" s="40" t="n">
        <f aca="false">SIP_Fund1_PPFAS!C74</f>
        <v>8000</v>
      </c>
      <c r="D201" s="41" t="n">
        <f aca="false">SIP_Fund1_PPFAS!H74</f>
        <v>130.77143425025</v>
      </c>
      <c r="E201" s="42" t="n">
        <f aca="false">SIP_Fund1_PPFAS!I74</f>
        <v>61.175439772962</v>
      </c>
      <c r="F201" s="38" t="n">
        <f aca="false">Assumptions!$C$5-B201</f>
        <v>1932</v>
      </c>
      <c r="G201" s="41" t="n">
        <f aca="false">Assumptions!$D$20*(1+Assumptions!$F$20)^((Assumptions!$C$5-Assumptions!$C$4)/365)</f>
        <v>232.452118359096</v>
      </c>
      <c r="H201" s="40" t="n">
        <f aca="false">E201*G201</f>
        <v>14220.3605667743</v>
      </c>
      <c r="I201" s="48" t="n">
        <f aca="false">IF(F201&lt;365,Assumptions!$G$20,IF(F201&lt;=730,Assumptions!$H$20,Assumptions!$I$20))</f>
        <v>0</v>
      </c>
      <c r="J201" s="40" t="n">
        <f aca="false">H201*I201</f>
        <v>0</v>
      </c>
      <c r="K201" s="40" t="n">
        <f aca="false">H201-J201</f>
        <v>14220.3605667743</v>
      </c>
      <c r="L201" s="40" t="n">
        <f aca="false">K201-C201</f>
        <v>6220.36056677429</v>
      </c>
      <c r="M201" s="38" t="str">
        <f aca="false">IF(F201&gt;365,"LTCG","STCG")</f>
        <v>LTCG</v>
      </c>
      <c r="N201" s="48" t="n">
        <f aca="false">IF(M201="LTCG",Assumptions!$C$12,Assumptions!$C$11)</f>
        <v>0.125</v>
      </c>
      <c r="O201" s="38" t="str">
        <f aca="false">IF(M201="STCG",MAX(L201,0)*Assumptions!$C$11,"agg. below")</f>
        <v>agg. below</v>
      </c>
    </row>
    <row r="202" customFormat="false" ht="15" hidden="false" customHeight="false" outlineLevel="1" collapsed="false">
      <c r="A202" s="33" t="str">
        <f aca="false">TEXT(SIP_Fund1_PPFAS!B75,"mmm-yyyy")</f>
        <v>Nov-2030</v>
      </c>
      <c r="B202" s="34" t="n">
        <f aca="false">SIP_Fund1_PPFAS!B75</f>
        <v>47788</v>
      </c>
      <c r="C202" s="35" t="n">
        <f aca="false">SIP_Fund1_PPFAS!C75</f>
        <v>8000</v>
      </c>
      <c r="D202" s="36" t="n">
        <f aca="false">SIP_Fund1_PPFAS!H75</f>
        <v>131.984033311484</v>
      </c>
      <c r="E202" s="37" t="n">
        <f aca="false">SIP_Fund1_PPFAS!I75</f>
        <v>60.6133923875464</v>
      </c>
      <c r="F202" s="33" t="n">
        <f aca="false">Assumptions!$C$5-B202</f>
        <v>1901</v>
      </c>
      <c r="G202" s="36" t="n">
        <f aca="false">Assumptions!$D$20*(1+Assumptions!$F$20)^((Assumptions!$C$5-Assumptions!$C$4)/365)</f>
        <v>232.452118359096</v>
      </c>
      <c r="H202" s="35" t="n">
        <f aca="false">E202*G202</f>
        <v>14089.7114614163</v>
      </c>
      <c r="I202" s="47" t="n">
        <f aca="false">IF(F202&lt;365,Assumptions!$G$20,IF(F202&lt;=730,Assumptions!$H$20,Assumptions!$I$20))</f>
        <v>0</v>
      </c>
      <c r="J202" s="35" t="n">
        <f aca="false">H202*I202</f>
        <v>0</v>
      </c>
      <c r="K202" s="35" t="n">
        <f aca="false">H202-J202</f>
        <v>14089.7114614163</v>
      </c>
      <c r="L202" s="35" t="n">
        <f aca="false">K202-C202</f>
        <v>6089.71146141625</v>
      </c>
      <c r="M202" s="33" t="str">
        <f aca="false">IF(F202&gt;365,"LTCG","STCG")</f>
        <v>LTCG</v>
      </c>
      <c r="N202" s="47" t="n">
        <f aca="false">IF(M202="LTCG",Assumptions!$C$12,Assumptions!$C$11)</f>
        <v>0.125</v>
      </c>
      <c r="O202" s="33" t="str">
        <f aca="false">IF(M202="STCG",MAX(L202,0)*Assumptions!$C$11,"agg. below")</f>
        <v>agg. below</v>
      </c>
    </row>
    <row r="203" customFormat="false" ht="15" hidden="false" customHeight="false" outlineLevel="1" collapsed="false">
      <c r="A203" s="38" t="str">
        <f aca="false">TEXT(SIP_Fund1_PPFAS!B76,"mmm-yyyy")</f>
        <v>Dec-2030</v>
      </c>
      <c r="B203" s="39" t="n">
        <f aca="false">SIP_Fund1_PPFAS!B76</f>
        <v>47818</v>
      </c>
      <c r="C203" s="40" t="n">
        <f aca="false">SIP_Fund1_PPFAS!C76</f>
        <v>8000</v>
      </c>
      <c r="D203" s="41" t="n">
        <f aca="false">SIP_Fund1_PPFAS!H76</f>
        <v>133.168221012753</v>
      </c>
      <c r="E203" s="42" t="n">
        <f aca="false">SIP_Fund1_PPFAS!I76</f>
        <v>60.0743926678563</v>
      </c>
      <c r="F203" s="38" t="n">
        <f aca="false">Assumptions!$C$5-B203</f>
        <v>1871</v>
      </c>
      <c r="G203" s="41" t="n">
        <f aca="false">Assumptions!$D$20*(1+Assumptions!$F$20)^((Assumptions!$C$5-Assumptions!$C$4)/365)</f>
        <v>232.452118359096</v>
      </c>
      <c r="H203" s="40" t="n">
        <f aca="false">E203*G203</f>
        <v>13964.4198347793</v>
      </c>
      <c r="I203" s="48" t="n">
        <f aca="false">IF(F203&lt;365,Assumptions!$G$20,IF(F203&lt;=730,Assumptions!$H$20,Assumptions!$I$20))</f>
        <v>0</v>
      </c>
      <c r="J203" s="40" t="n">
        <f aca="false">H203*I203</f>
        <v>0</v>
      </c>
      <c r="K203" s="40" t="n">
        <f aca="false">H203-J203</f>
        <v>13964.4198347793</v>
      </c>
      <c r="L203" s="40" t="n">
        <f aca="false">K203-C203</f>
        <v>5964.41983477932</v>
      </c>
      <c r="M203" s="38" t="str">
        <f aca="false">IF(F203&gt;365,"LTCG","STCG")</f>
        <v>LTCG</v>
      </c>
      <c r="N203" s="48" t="n">
        <f aca="false">IF(M203="LTCG",Assumptions!$C$12,Assumptions!$C$11)</f>
        <v>0.125</v>
      </c>
      <c r="O203" s="38" t="str">
        <f aca="false">IF(M203="STCG",MAX(L203,0)*Assumptions!$C$11,"agg. below")</f>
        <v>agg. below</v>
      </c>
    </row>
    <row r="204" customFormat="false" ht="15" hidden="false" customHeight="false" outlineLevel="1" collapsed="false">
      <c r="A204" s="33" t="str">
        <f aca="false">TEXT(SIP_Fund1_PPFAS!B77,"mmm-yyyy")</f>
        <v>Jan-2031</v>
      </c>
      <c r="B204" s="34" t="n">
        <f aca="false">SIP_Fund1_PPFAS!B77</f>
        <v>47849</v>
      </c>
      <c r="C204" s="35" t="n">
        <f aca="false">SIP_Fund1_PPFAS!C77</f>
        <v>9000</v>
      </c>
      <c r="D204" s="36" t="n">
        <f aca="false">SIP_Fund1_PPFAS!H77</f>
        <v>134.403044662981</v>
      </c>
      <c r="E204" s="37" t="n">
        <f aca="false">SIP_Fund1_PPFAS!I77</f>
        <v>66.9627687569709</v>
      </c>
      <c r="F204" s="33" t="n">
        <f aca="false">Assumptions!$C$5-B204</f>
        <v>1840</v>
      </c>
      <c r="G204" s="36" t="n">
        <f aca="false">Assumptions!$D$20*(1+Assumptions!$F$20)^((Assumptions!$C$5-Assumptions!$C$4)/365)</f>
        <v>232.452118359096</v>
      </c>
      <c r="H204" s="35" t="n">
        <f aca="false">E204*G204</f>
        <v>15565.6374487481</v>
      </c>
      <c r="I204" s="47" t="n">
        <f aca="false">IF(F204&lt;365,Assumptions!$G$20,IF(F204&lt;=730,Assumptions!$H$20,Assumptions!$I$20))</f>
        <v>0</v>
      </c>
      <c r="J204" s="35" t="n">
        <f aca="false">H204*I204</f>
        <v>0</v>
      </c>
      <c r="K204" s="35" t="n">
        <f aca="false">H204-J204</f>
        <v>15565.6374487481</v>
      </c>
      <c r="L204" s="35" t="n">
        <f aca="false">K204-C204</f>
        <v>6565.63744874815</v>
      </c>
      <c r="M204" s="33" t="str">
        <f aca="false">IF(F204&gt;365,"LTCG","STCG")</f>
        <v>LTCG</v>
      </c>
      <c r="N204" s="47" t="n">
        <f aca="false">IF(M204="LTCG",Assumptions!$C$12,Assumptions!$C$11)</f>
        <v>0.125</v>
      </c>
      <c r="O204" s="33" t="str">
        <f aca="false">IF(M204="STCG",MAX(L204,0)*Assumptions!$C$11,"agg. below")</f>
        <v>agg. below</v>
      </c>
    </row>
    <row r="205" customFormat="false" ht="15" hidden="false" customHeight="false" outlineLevel="1" collapsed="false">
      <c r="A205" s="38" t="str">
        <f aca="false">TEXT(SIP_Fund1_PPFAS!B78,"mmm-yyyy")</f>
        <v>Feb-2031</v>
      </c>
      <c r="B205" s="39" t="n">
        <f aca="false">SIP_Fund1_PPFAS!B78</f>
        <v>47880</v>
      </c>
      <c r="C205" s="40" t="n">
        <f aca="false">SIP_Fund1_PPFAS!C78</f>
        <v>9000</v>
      </c>
      <c r="D205" s="41" t="n">
        <f aca="false">SIP_Fund1_PPFAS!H78</f>
        <v>135.649318413206</v>
      </c>
      <c r="E205" s="42" t="n">
        <f aca="false">SIP_Fund1_PPFAS!I78</f>
        <v>66.3475504726443</v>
      </c>
      <c r="F205" s="38" t="n">
        <f aca="false">Assumptions!$C$5-B205</f>
        <v>1809</v>
      </c>
      <c r="G205" s="41" t="n">
        <f aca="false">Assumptions!$D$20*(1+Assumptions!$F$20)^((Assumptions!$C$5-Assumptions!$C$4)/365)</f>
        <v>232.452118359096</v>
      </c>
      <c r="H205" s="40" t="n">
        <f aca="false">E205*G205</f>
        <v>15422.6286553032</v>
      </c>
      <c r="I205" s="48" t="n">
        <f aca="false">IF(F205&lt;365,Assumptions!$G$20,IF(F205&lt;=730,Assumptions!$H$20,Assumptions!$I$20))</f>
        <v>0</v>
      </c>
      <c r="J205" s="40" t="n">
        <f aca="false">H205*I205</f>
        <v>0</v>
      </c>
      <c r="K205" s="40" t="n">
        <f aca="false">H205-J205</f>
        <v>15422.6286553032</v>
      </c>
      <c r="L205" s="40" t="n">
        <f aca="false">K205-C205</f>
        <v>6422.6286553032</v>
      </c>
      <c r="M205" s="38" t="str">
        <f aca="false">IF(F205&gt;365,"LTCG","STCG")</f>
        <v>LTCG</v>
      </c>
      <c r="N205" s="48" t="n">
        <f aca="false">IF(M205="LTCG",Assumptions!$C$12,Assumptions!$C$11)</f>
        <v>0.125</v>
      </c>
      <c r="O205" s="38" t="str">
        <f aca="false">IF(M205="STCG",MAX(L205,0)*Assumptions!$C$11,"agg. below")</f>
        <v>agg. below</v>
      </c>
    </row>
    <row r="206" customFormat="false" ht="15" hidden="false" customHeight="false" outlineLevel="1" collapsed="false">
      <c r="A206" s="33" t="str">
        <f aca="false">TEXT(SIP_Fund1_PPFAS!B79,"mmm-yyyy")</f>
        <v>Mar-2031</v>
      </c>
      <c r="B206" s="34" t="n">
        <f aca="false">SIP_Fund1_PPFAS!B79</f>
        <v>47908</v>
      </c>
      <c r="C206" s="35" t="n">
        <f aca="false">SIP_Fund1_PPFAS!C79</f>
        <v>9000</v>
      </c>
      <c r="D206" s="36" t="n">
        <f aca="false">SIP_Fund1_PPFAS!H79</f>
        <v>136.7849149258</v>
      </c>
      <c r="E206" s="37" t="n">
        <f aca="false">SIP_Fund1_PPFAS!I79</f>
        <v>65.7967291560045</v>
      </c>
      <c r="F206" s="33" t="n">
        <f aca="false">Assumptions!$C$5-B206</f>
        <v>1781</v>
      </c>
      <c r="G206" s="36" t="n">
        <f aca="false">Assumptions!$D$20*(1+Assumptions!$F$20)^((Assumptions!$C$5-Assumptions!$C$4)/365)</f>
        <v>232.452118359096</v>
      </c>
      <c r="H206" s="35" t="n">
        <f aca="false">E206*G206</f>
        <v>15294.5890734129</v>
      </c>
      <c r="I206" s="47" t="n">
        <f aca="false">IF(F206&lt;365,Assumptions!$G$20,IF(F206&lt;=730,Assumptions!$H$20,Assumptions!$I$20))</f>
        <v>0</v>
      </c>
      <c r="J206" s="35" t="n">
        <f aca="false">H206*I206</f>
        <v>0</v>
      </c>
      <c r="K206" s="35" t="n">
        <f aca="false">H206-J206</f>
        <v>15294.5890734129</v>
      </c>
      <c r="L206" s="35" t="n">
        <f aca="false">K206-C206</f>
        <v>6294.58907341292</v>
      </c>
      <c r="M206" s="33" t="str">
        <f aca="false">IF(F206&gt;365,"LTCG","STCG")</f>
        <v>LTCG</v>
      </c>
      <c r="N206" s="47" t="n">
        <f aca="false">IF(M206="LTCG",Assumptions!$C$12,Assumptions!$C$11)</f>
        <v>0.125</v>
      </c>
      <c r="O206" s="33" t="str">
        <f aca="false">IF(M206="STCG",MAX(L206,0)*Assumptions!$C$11,"agg. below")</f>
        <v>agg. below</v>
      </c>
    </row>
    <row r="207" customFormat="false" ht="15" hidden="false" customHeight="false" outlineLevel="1" collapsed="false">
      <c r="A207" s="38" t="str">
        <f aca="false">TEXT(SIP_Fund1_PPFAS!B80,"mmm-yyyy")</f>
        <v>Apr-2031</v>
      </c>
      <c r="B207" s="39" t="n">
        <f aca="false">SIP_Fund1_PPFAS!B80</f>
        <v>47939</v>
      </c>
      <c r="C207" s="40" t="n">
        <f aca="false">SIP_Fund1_PPFAS!C80</f>
        <v>9000</v>
      </c>
      <c r="D207" s="41" t="n">
        <f aca="false">SIP_Fund1_PPFAS!H80</f>
        <v>138.053274949387</v>
      </c>
      <c r="E207" s="42" t="n">
        <f aca="false">SIP_Fund1_PPFAS!I80</f>
        <v>65.1922238230101</v>
      </c>
      <c r="F207" s="38" t="n">
        <f aca="false">Assumptions!$C$5-B207</f>
        <v>1750</v>
      </c>
      <c r="G207" s="41" t="n">
        <f aca="false">Assumptions!$D$20*(1+Assumptions!$F$20)^((Assumptions!$C$5-Assumptions!$C$4)/365)</f>
        <v>232.452118359096</v>
      </c>
      <c r="H207" s="40" t="n">
        <f aca="false">E207*G207</f>
        <v>15154.070528199</v>
      </c>
      <c r="I207" s="48" t="n">
        <f aca="false">IF(F207&lt;365,Assumptions!$G$20,IF(F207&lt;=730,Assumptions!$H$20,Assumptions!$I$20))</f>
        <v>0</v>
      </c>
      <c r="J207" s="40" t="n">
        <f aca="false">H207*I207</f>
        <v>0</v>
      </c>
      <c r="K207" s="40" t="n">
        <f aca="false">H207-J207</f>
        <v>15154.070528199</v>
      </c>
      <c r="L207" s="40" t="n">
        <f aca="false">K207-C207</f>
        <v>6154.07052819902</v>
      </c>
      <c r="M207" s="38" t="str">
        <f aca="false">IF(F207&gt;365,"LTCG","STCG")</f>
        <v>LTCG</v>
      </c>
      <c r="N207" s="48" t="n">
        <f aca="false">IF(M207="LTCG",Assumptions!$C$12,Assumptions!$C$11)</f>
        <v>0.125</v>
      </c>
      <c r="O207" s="38" t="str">
        <f aca="false">IF(M207="STCG",MAX(L207,0)*Assumptions!$C$11,"agg. below")</f>
        <v>agg. below</v>
      </c>
    </row>
    <row r="208" customFormat="false" ht="15" hidden="false" customHeight="false" outlineLevel="1" collapsed="false">
      <c r="A208" s="33" t="str">
        <f aca="false">TEXT(SIP_Fund1_PPFAS!B81,"mmm-yyyy")</f>
        <v>May-2031</v>
      </c>
      <c r="B208" s="34" t="n">
        <f aca="false">SIP_Fund1_PPFAS!B81</f>
        <v>47969</v>
      </c>
      <c r="C208" s="35" t="n">
        <f aca="false">SIP_Fund1_PPFAS!C81</f>
        <v>9000</v>
      </c>
      <c r="D208" s="36" t="n">
        <f aca="false">SIP_Fund1_PPFAS!H81</f>
        <v>139.29191712612</v>
      </c>
      <c r="E208" s="37" t="n">
        <f aca="false">SIP_Fund1_PPFAS!I81</f>
        <v>64.6125072128275</v>
      </c>
      <c r="F208" s="33" t="n">
        <f aca="false">Assumptions!$C$5-B208</f>
        <v>1720</v>
      </c>
      <c r="G208" s="36" t="n">
        <f aca="false">Assumptions!$D$20*(1+Assumptions!$F$20)^((Assumptions!$C$5-Assumptions!$C$4)/365)</f>
        <v>232.452118359096</v>
      </c>
      <c r="H208" s="35" t="n">
        <f aca="false">E208*G208</f>
        <v>15019.3141741141</v>
      </c>
      <c r="I208" s="47" t="n">
        <f aca="false">IF(F208&lt;365,Assumptions!$G$20,IF(F208&lt;=730,Assumptions!$H$20,Assumptions!$I$20))</f>
        <v>0</v>
      </c>
      <c r="J208" s="35" t="n">
        <f aca="false">H208*I208</f>
        <v>0</v>
      </c>
      <c r="K208" s="35" t="n">
        <f aca="false">H208-J208</f>
        <v>15019.3141741141</v>
      </c>
      <c r="L208" s="35" t="n">
        <f aca="false">K208-C208</f>
        <v>6019.3141741141</v>
      </c>
      <c r="M208" s="33" t="str">
        <f aca="false">IF(F208&gt;365,"LTCG","STCG")</f>
        <v>LTCG</v>
      </c>
      <c r="N208" s="47" t="n">
        <f aca="false">IF(M208="LTCG",Assumptions!$C$12,Assumptions!$C$11)</f>
        <v>0.125</v>
      </c>
      <c r="O208" s="33" t="str">
        <f aca="false">IF(M208="STCG",MAX(L208,0)*Assumptions!$C$11,"agg. below")</f>
        <v>agg. below</v>
      </c>
    </row>
    <row r="209" customFormat="false" ht="15" hidden="false" customHeight="false" outlineLevel="1" collapsed="false">
      <c r="A209" s="38" t="str">
        <f aca="false">TEXT(SIP_Fund1_PPFAS!B82,"mmm-yyyy")</f>
        <v>Jun-2031</v>
      </c>
      <c r="B209" s="39" t="n">
        <f aca="false">SIP_Fund1_PPFAS!B82</f>
        <v>48000</v>
      </c>
      <c r="C209" s="40" t="n">
        <f aca="false">SIP_Fund1_PPFAS!C82</f>
        <v>9000</v>
      </c>
      <c r="D209" s="41" t="n">
        <f aca="false">SIP_Fund1_PPFAS!H82</f>
        <v>140.583523728993</v>
      </c>
      <c r="E209" s="42" t="n">
        <f aca="false">SIP_Fund1_PPFAS!I82</f>
        <v>64.0188818808496</v>
      </c>
      <c r="F209" s="38" t="n">
        <f aca="false">Assumptions!$C$5-B209</f>
        <v>1689</v>
      </c>
      <c r="G209" s="41" t="n">
        <f aca="false">Assumptions!$D$20*(1+Assumptions!$F$20)^((Assumptions!$C$5-Assumptions!$C$4)/365)</f>
        <v>232.452118359096</v>
      </c>
      <c r="H209" s="40" t="n">
        <f aca="false">E209*G209</f>
        <v>14881.3247081842</v>
      </c>
      <c r="I209" s="48" t="n">
        <f aca="false">IF(F209&lt;365,Assumptions!$G$20,IF(F209&lt;=730,Assumptions!$H$20,Assumptions!$I$20))</f>
        <v>0</v>
      </c>
      <c r="J209" s="40" t="n">
        <f aca="false">H209*I209</f>
        <v>0</v>
      </c>
      <c r="K209" s="40" t="n">
        <f aca="false">H209-J209</f>
        <v>14881.3247081842</v>
      </c>
      <c r="L209" s="40" t="n">
        <f aca="false">K209-C209</f>
        <v>5881.32470818423</v>
      </c>
      <c r="M209" s="38" t="str">
        <f aca="false">IF(F209&gt;365,"LTCG","STCG")</f>
        <v>LTCG</v>
      </c>
      <c r="N209" s="48" t="n">
        <f aca="false">IF(M209="LTCG",Assumptions!$C$12,Assumptions!$C$11)</f>
        <v>0.125</v>
      </c>
      <c r="O209" s="38" t="str">
        <f aca="false">IF(M209="STCG",MAX(L209,0)*Assumptions!$C$11,"agg. below")</f>
        <v>agg. below</v>
      </c>
    </row>
    <row r="210" customFormat="false" ht="15" hidden="false" customHeight="false" outlineLevel="1" collapsed="false">
      <c r="A210" s="33" t="str">
        <f aca="false">TEXT(SIP_Fund1_PPFAS!B83,"mmm-yyyy")</f>
        <v>Jul-2031</v>
      </c>
      <c r="B210" s="34" t="n">
        <f aca="false">SIP_Fund1_PPFAS!B83</f>
        <v>48030</v>
      </c>
      <c r="C210" s="35" t="n">
        <f aca="false">SIP_Fund1_PPFAS!C83</f>
        <v>9000</v>
      </c>
      <c r="D210" s="36" t="n">
        <f aca="false">SIP_Fund1_PPFAS!H83</f>
        <v>141.844867814516</v>
      </c>
      <c r="E210" s="37" t="n">
        <f aca="false">SIP_Fund1_PPFAS!I83</f>
        <v>63.4495991195742</v>
      </c>
      <c r="F210" s="33" t="n">
        <f aca="false">Assumptions!$C$5-B210</f>
        <v>1659</v>
      </c>
      <c r="G210" s="36" t="n">
        <f aca="false">Assumptions!$D$20*(1+Assumptions!$F$20)^((Assumptions!$C$5-Assumptions!$C$4)/365)</f>
        <v>232.452118359096</v>
      </c>
      <c r="H210" s="35" t="n">
        <f aca="false">E210*G210</f>
        <v>14748.9937243804</v>
      </c>
      <c r="I210" s="47" t="n">
        <f aca="false">IF(F210&lt;365,Assumptions!$G$20,IF(F210&lt;=730,Assumptions!$H$20,Assumptions!$I$20))</f>
        <v>0</v>
      </c>
      <c r="J210" s="35" t="n">
        <f aca="false">H210*I210</f>
        <v>0</v>
      </c>
      <c r="K210" s="35" t="n">
        <f aca="false">H210-J210</f>
        <v>14748.9937243804</v>
      </c>
      <c r="L210" s="35" t="n">
        <f aca="false">K210-C210</f>
        <v>5748.99372438044</v>
      </c>
      <c r="M210" s="33" t="str">
        <f aca="false">IF(F210&gt;365,"LTCG","STCG")</f>
        <v>LTCG</v>
      </c>
      <c r="N210" s="47" t="n">
        <f aca="false">IF(M210="LTCG",Assumptions!$C$12,Assumptions!$C$11)</f>
        <v>0.125</v>
      </c>
      <c r="O210" s="33" t="str">
        <f aca="false">IF(M210="STCG",MAX(L210,0)*Assumptions!$C$11,"agg. below")</f>
        <v>agg. below</v>
      </c>
    </row>
    <row r="211" customFormat="false" ht="15" hidden="false" customHeight="false" outlineLevel="1" collapsed="false">
      <c r="A211" s="38" t="str">
        <f aca="false">TEXT(SIP_Fund1_PPFAS!B84,"mmm-yyyy")</f>
        <v>Aug-2031</v>
      </c>
      <c r="B211" s="39" t="n">
        <f aca="false">SIP_Fund1_PPFAS!B84</f>
        <v>48061</v>
      </c>
      <c r="C211" s="40" t="n">
        <f aca="false">SIP_Fund1_PPFAS!C84</f>
        <v>9000</v>
      </c>
      <c r="D211" s="41" t="n">
        <f aca="false">SIP_Fund1_PPFAS!H84</f>
        <v>143.160147061386</v>
      </c>
      <c r="E211" s="42" t="n">
        <f aca="false">SIP_Fund1_PPFAS!I84</f>
        <v>62.8666579683022</v>
      </c>
      <c r="F211" s="38" t="n">
        <f aca="false">Assumptions!$C$5-B211</f>
        <v>1628</v>
      </c>
      <c r="G211" s="41" t="n">
        <f aca="false">Assumptions!$D$20*(1+Assumptions!$F$20)^((Assumptions!$C$5-Assumptions!$C$4)/365)</f>
        <v>232.452118359096</v>
      </c>
      <c r="H211" s="40" t="n">
        <f aca="false">E211*G211</f>
        <v>14613.4878188886</v>
      </c>
      <c r="I211" s="48" t="n">
        <f aca="false">IF(F211&lt;365,Assumptions!$G$20,IF(F211&lt;=730,Assumptions!$H$20,Assumptions!$I$20))</f>
        <v>0</v>
      </c>
      <c r="J211" s="40" t="n">
        <f aca="false">H211*I211</f>
        <v>0</v>
      </c>
      <c r="K211" s="40" t="n">
        <f aca="false">H211-J211</f>
        <v>14613.4878188886</v>
      </c>
      <c r="L211" s="40" t="n">
        <f aca="false">K211-C211</f>
        <v>5613.48781888856</v>
      </c>
      <c r="M211" s="38" t="str">
        <f aca="false">IF(F211&gt;365,"LTCG","STCG")</f>
        <v>LTCG</v>
      </c>
      <c r="N211" s="48" t="n">
        <f aca="false">IF(M211="LTCG",Assumptions!$C$12,Assumptions!$C$11)</f>
        <v>0.125</v>
      </c>
      <c r="O211" s="38" t="str">
        <f aca="false">IF(M211="STCG",MAX(L211,0)*Assumptions!$C$11,"agg. below")</f>
        <v>agg. below</v>
      </c>
    </row>
    <row r="212" customFormat="false" ht="15" hidden="false" customHeight="false" outlineLevel="1" collapsed="false">
      <c r="A212" s="33" t="str">
        <f aca="false">TEXT(SIP_Fund1_PPFAS!B85,"mmm-yyyy")</f>
        <v>Sep-2031</v>
      </c>
      <c r="B212" s="34" t="n">
        <f aca="false">SIP_Fund1_PPFAS!B85</f>
        <v>48092</v>
      </c>
      <c r="C212" s="35" t="n">
        <f aca="false">SIP_Fund1_PPFAS!C85</f>
        <v>9000</v>
      </c>
      <c r="D212" s="36" t="n">
        <f aca="false">SIP_Fund1_PPFAS!H85</f>
        <v>144.487622445656</v>
      </c>
      <c r="E212" s="37" t="n">
        <f aca="false">SIP_Fund1_PPFAS!I85</f>
        <v>62.2890725701091</v>
      </c>
      <c r="F212" s="33" t="n">
        <f aca="false">Assumptions!$C$5-B212</f>
        <v>1597</v>
      </c>
      <c r="G212" s="36" t="n">
        <f aca="false">Assumptions!$D$20*(1+Assumptions!$F$20)^((Assumptions!$C$5-Assumptions!$C$4)/365)</f>
        <v>232.452118359096</v>
      </c>
      <c r="H212" s="35" t="n">
        <f aca="false">E212*G212</f>
        <v>14479.2268695453</v>
      </c>
      <c r="I212" s="47" t="n">
        <f aca="false">IF(F212&lt;365,Assumptions!$G$20,IF(F212&lt;=730,Assumptions!$H$20,Assumptions!$I$20))</f>
        <v>0</v>
      </c>
      <c r="J212" s="35" t="n">
        <f aca="false">H212*I212</f>
        <v>0</v>
      </c>
      <c r="K212" s="35" t="n">
        <f aca="false">H212-J212</f>
        <v>14479.2268695453</v>
      </c>
      <c r="L212" s="35" t="n">
        <f aca="false">K212-C212</f>
        <v>5479.22686954531</v>
      </c>
      <c r="M212" s="33" t="str">
        <f aca="false">IF(F212&gt;365,"LTCG","STCG")</f>
        <v>LTCG</v>
      </c>
      <c r="N212" s="47" t="n">
        <f aca="false">IF(M212="LTCG",Assumptions!$C$12,Assumptions!$C$11)</f>
        <v>0.125</v>
      </c>
      <c r="O212" s="33" t="str">
        <f aca="false">IF(M212="STCG",MAX(L212,0)*Assumptions!$C$11,"agg. below")</f>
        <v>agg. below</v>
      </c>
    </row>
    <row r="213" customFormat="false" ht="15" hidden="false" customHeight="false" outlineLevel="1" collapsed="false">
      <c r="A213" s="38" t="str">
        <f aca="false">TEXT(SIP_Fund1_PPFAS!B86,"mmm-yyyy")</f>
        <v>Oct-2031</v>
      </c>
      <c r="B213" s="39" t="n">
        <f aca="false">SIP_Fund1_PPFAS!B86</f>
        <v>48122</v>
      </c>
      <c r="C213" s="40" t="n">
        <f aca="false">SIP_Fund1_PPFAS!C86</f>
        <v>9000</v>
      </c>
      <c r="D213" s="41" t="n">
        <f aca="false">SIP_Fund1_PPFAS!H86</f>
        <v>145.783994902178</v>
      </c>
      <c r="E213" s="42" t="n">
        <f aca="false">SIP_Fund1_PPFAS!I86</f>
        <v>61.735171999087</v>
      </c>
      <c r="F213" s="38" t="n">
        <f aca="false">Assumptions!$C$5-B213</f>
        <v>1567</v>
      </c>
      <c r="G213" s="41" t="n">
        <f aca="false">Assumptions!$D$20*(1+Assumptions!$F$20)^((Assumptions!$C$5-Assumptions!$C$4)/365)</f>
        <v>232.452118359096</v>
      </c>
      <c r="H213" s="40" t="n">
        <f aca="false">E213*G213</f>
        <v>14350.4715084509</v>
      </c>
      <c r="I213" s="48" t="n">
        <f aca="false">IF(F213&lt;365,Assumptions!$G$20,IF(F213&lt;=730,Assumptions!$H$20,Assumptions!$I$20))</f>
        <v>0</v>
      </c>
      <c r="J213" s="40" t="n">
        <f aca="false">H213*I213</f>
        <v>0</v>
      </c>
      <c r="K213" s="40" t="n">
        <f aca="false">H213-J213</f>
        <v>14350.4715084509</v>
      </c>
      <c r="L213" s="40" t="n">
        <f aca="false">K213-C213</f>
        <v>5350.47150845092</v>
      </c>
      <c r="M213" s="38" t="str">
        <f aca="false">IF(F213&gt;365,"LTCG","STCG")</f>
        <v>LTCG</v>
      </c>
      <c r="N213" s="48" t="n">
        <f aca="false">IF(M213="LTCG",Assumptions!$C$12,Assumptions!$C$11)</f>
        <v>0.125</v>
      </c>
      <c r="O213" s="38" t="str">
        <f aca="false">IF(M213="STCG",MAX(L213,0)*Assumptions!$C$11,"agg. below")</f>
        <v>agg. below</v>
      </c>
    </row>
    <row r="214" customFormat="false" ht="15" hidden="false" customHeight="false" outlineLevel="1" collapsed="false">
      <c r="A214" s="33" t="str">
        <f aca="false">TEXT(SIP_Fund1_PPFAS!B87,"mmm-yyyy")</f>
        <v>Nov-2031</v>
      </c>
      <c r="B214" s="34" t="n">
        <f aca="false">SIP_Fund1_PPFAS!B87</f>
        <v>48153</v>
      </c>
      <c r="C214" s="35" t="n">
        <f aca="false">SIP_Fund1_PPFAS!C87</f>
        <v>9000</v>
      </c>
      <c r="D214" s="36" t="n">
        <f aca="false">SIP_Fund1_PPFAS!H87</f>
        <v>147.135800335643</v>
      </c>
      <c r="E214" s="37" t="n">
        <f aca="false">SIP_Fund1_PPFAS!I87</f>
        <v>61.1679820918458</v>
      </c>
      <c r="F214" s="33" t="n">
        <f aca="false">Assumptions!$C$5-B214</f>
        <v>1536</v>
      </c>
      <c r="G214" s="36" t="n">
        <f aca="false">Assumptions!$D$20*(1+Assumptions!$F$20)^((Assumptions!$C$5-Assumptions!$C$4)/365)</f>
        <v>232.452118359096</v>
      </c>
      <c r="H214" s="35" t="n">
        <f aca="false">E214*G214</f>
        <v>14218.6270130008</v>
      </c>
      <c r="I214" s="47" t="n">
        <f aca="false">IF(F214&lt;365,Assumptions!$G$20,IF(F214&lt;=730,Assumptions!$H$20,Assumptions!$I$20))</f>
        <v>0</v>
      </c>
      <c r="J214" s="35" t="n">
        <f aca="false">H214*I214</f>
        <v>0</v>
      </c>
      <c r="K214" s="35" t="n">
        <f aca="false">H214-J214</f>
        <v>14218.6270130008</v>
      </c>
      <c r="L214" s="35" t="n">
        <f aca="false">K214-C214</f>
        <v>5218.62701300079</v>
      </c>
      <c r="M214" s="33" t="str">
        <f aca="false">IF(F214&gt;365,"LTCG","STCG")</f>
        <v>LTCG</v>
      </c>
      <c r="N214" s="47" t="n">
        <f aca="false">IF(M214="LTCG",Assumptions!$C$12,Assumptions!$C$11)</f>
        <v>0.125</v>
      </c>
      <c r="O214" s="33" t="str">
        <f aca="false">IF(M214="STCG",MAX(L214,0)*Assumptions!$C$11,"agg. below")</f>
        <v>agg. below</v>
      </c>
    </row>
    <row r="215" customFormat="false" ht="15" hidden="false" customHeight="false" outlineLevel="1" collapsed="false">
      <c r="A215" s="38" t="str">
        <f aca="false">TEXT(SIP_Fund1_PPFAS!B88,"mmm-yyyy")</f>
        <v>Dec-2031</v>
      </c>
      <c r="B215" s="39" t="n">
        <f aca="false">SIP_Fund1_PPFAS!B88</f>
        <v>48183</v>
      </c>
      <c r="C215" s="40" t="n">
        <f aca="false">SIP_Fund1_PPFAS!C88</f>
        <v>9000</v>
      </c>
      <c r="D215" s="41" t="n">
        <f aca="false">SIP_Fund1_PPFAS!H88</f>
        <v>148.455932785017</v>
      </c>
      <c r="E215" s="42" t="n">
        <f aca="false">SIP_Fund1_PPFAS!I88</f>
        <v>60.6240507277882</v>
      </c>
      <c r="F215" s="38" t="n">
        <f aca="false">Assumptions!$C$5-B215</f>
        <v>1506</v>
      </c>
      <c r="G215" s="41" t="n">
        <f aca="false">Assumptions!$D$20*(1+Assumptions!$F$20)^((Assumptions!$C$5-Assumptions!$C$4)/365)</f>
        <v>232.452118359096</v>
      </c>
      <c r="H215" s="40" t="n">
        <f aca="false">E215*G215</f>
        <v>14092.1890151836</v>
      </c>
      <c r="I215" s="48" t="n">
        <f aca="false">IF(F215&lt;365,Assumptions!$G$20,IF(F215&lt;=730,Assumptions!$H$20,Assumptions!$I$20))</f>
        <v>0</v>
      </c>
      <c r="J215" s="40" t="n">
        <f aca="false">H215*I215</f>
        <v>0</v>
      </c>
      <c r="K215" s="40" t="n">
        <f aca="false">H215-J215</f>
        <v>14092.1890151836</v>
      </c>
      <c r="L215" s="40" t="n">
        <f aca="false">K215-C215</f>
        <v>5092.18901518365</v>
      </c>
      <c r="M215" s="38" t="str">
        <f aca="false">IF(F215&gt;365,"LTCG","STCG")</f>
        <v>LTCG</v>
      </c>
      <c r="N215" s="48" t="n">
        <f aca="false">IF(M215="LTCG",Assumptions!$C$12,Assumptions!$C$11)</f>
        <v>0.125</v>
      </c>
      <c r="O215" s="38" t="str">
        <f aca="false">IF(M215="STCG",MAX(L215,0)*Assumptions!$C$11,"agg. below")</f>
        <v>agg. below</v>
      </c>
    </row>
    <row r="216" customFormat="false" ht="15" hidden="false" customHeight="false" outlineLevel="1" collapsed="false">
      <c r="A216" s="33" t="str">
        <f aca="false">TEXT(SIP_Fund1_PPFAS!B89,"mmm-yyyy")</f>
        <v>Jan-2032</v>
      </c>
      <c r="B216" s="34" t="n">
        <f aca="false">SIP_Fund1_PPFAS!B89</f>
        <v>48214</v>
      </c>
      <c r="C216" s="35" t="n">
        <f aca="false">SIP_Fund1_PPFAS!C89</f>
        <v>10000</v>
      </c>
      <c r="D216" s="36" t="n">
        <f aca="false">SIP_Fund1_PPFAS!H89</f>
        <v>149.832514190291</v>
      </c>
      <c r="E216" s="37" t="n">
        <f aca="false">SIP_Fund1_PPFAS!I89</f>
        <v>66.7411880127685</v>
      </c>
      <c r="F216" s="33" t="n">
        <f aca="false">Assumptions!$C$5-B216</f>
        <v>1475</v>
      </c>
      <c r="G216" s="36" t="n">
        <f aca="false">Assumptions!$D$20*(1+Assumptions!$F$20)^((Assumptions!$C$5-Assumptions!$C$4)/365)</f>
        <v>232.452118359096</v>
      </c>
      <c r="H216" s="35" t="n">
        <f aca="false">E216*G216</f>
        <v>15514.1305353707</v>
      </c>
      <c r="I216" s="47" t="n">
        <f aca="false">IF(F216&lt;365,Assumptions!$G$20,IF(F216&lt;=730,Assumptions!$H$20,Assumptions!$I$20))</f>
        <v>0</v>
      </c>
      <c r="J216" s="35" t="n">
        <f aca="false">H216*I216</f>
        <v>0</v>
      </c>
      <c r="K216" s="35" t="n">
        <f aca="false">H216-J216</f>
        <v>15514.1305353707</v>
      </c>
      <c r="L216" s="35" t="n">
        <f aca="false">K216-C216</f>
        <v>5514.13053537072</v>
      </c>
      <c r="M216" s="33" t="str">
        <f aca="false">IF(F216&gt;365,"LTCG","STCG")</f>
        <v>LTCG</v>
      </c>
      <c r="N216" s="47" t="n">
        <f aca="false">IF(M216="LTCG",Assumptions!$C$12,Assumptions!$C$11)</f>
        <v>0.125</v>
      </c>
      <c r="O216" s="33" t="str">
        <f aca="false">IF(M216="STCG",MAX(L216,0)*Assumptions!$C$11,"agg. below")</f>
        <v>agg. below</v>
      </c>
    </row>
    <row r="217" customFormat="false" ht="15" hidden="false" customHeight="false" outlineLevel="1" collapsed="false">
      <c r="A217" s="38" t="str">
        <f aca="false">TEXT(SIP_Fund1_PPFAS!B90,"mmm-yyyy")</f>
        <v>Feb-2032</v>
      </c>
      <c r="B217" s="39" t="n">
        <f aca="false">SIP_Fund1_PPFAS!B90</f>
        <v>48245</v>
      </c>
      <c r="C217" s="40" t="n">
        <f aca="false">SIP_Fund1_PPFAS!C90</f>
        <v>10000</v>
      </c>
      <c r="D217" s="41" t="n">
        <f aca="false">SIP_Fund1_PPFAS!H90</f>
        <v>151.221860167042</v>
      </c>
      <c r="E217" s="42" t="n">
        <f aca="false">SIP_Fund1_PPFAS!I90</f>
        <v>66.1280054944029</v>
      </c>
      <c r="F217" s="38" t="n">
        <f aca="false">Assumptions!$C$5-B217</f>
        <v>1444</v>
      </c>
      <c r="G217" s="41" t="n">
        <f aca="false">Assumptions!$D$20*(1+Assumptions!$F$20)^((Assumptions!$C$5-Assumptions!$C$4)/365)</f>
        <v>232.452118359096</v>
      </c>
      <c r="H217" s="40" t="n">
        <f aca="false">E217*G217</f>
        <v>15371.5949600359</v>
      </c>
      <c r="I217" s="48" t="n">
        <f aca="false">IF(F217&lt;365,Assumptions!$G$20,IF(F217&lt;=730,Assumptions!$H$20,Assumptions!$I$20))</f>
        <v>0</v>
      </c>
      <c r="J217" s="40" t="n">
        <f aca="false">H217*I217</f>
        <v>0</v>
      </c>
      <c r="K217" s="40" t="n">
        <f aca="false">H217-J217</f>
        <v>15371.5949600359</v>
      </c>
      <c r="L217" s="40" t="n">
        <f aca="false">K217-C217</f>
        <v>5371.59496003588</v>
      </c>
      <c r="M217" s="38" t="str">
        <f aca="false">IF(F217&gt;365,"LTCG","STCG")</f>
        <v>LTCG</v>
      </c>
      <c r="N217" s="48" t="n">
        <f aca="false">IF(M217="LTCG",Assumptions!$C$12,Assumptions!$C$11)</f>
        <v>0.125</v>
      </c>
      <c r="O217" s="38" t="str">
        <f aca="false">IF(M217="STCG",MAX(L217,0)*Assumptions!$C$11,"agg. below")</f>
        <v>agg. below</v>
      </c>
    </row>
    <row r="218" customFormat="false" ht="15" hidden="false" customHeight="false" outlineLevel="1" collapsed="false">
      <c r="A218" s="33" t="str">
        <f aca="false">TEXT(SIP_Fund1_PPFAS!B91,"mmm-yyyy")</f>
        <v>Mar-2032</v>
      </c>
      <c r="B218" s="34" t="n">
        <f aca="false">SIP_Fund1_PPFAS!B91</f>
        <v>48274</v>
      </c>
      <c r="C218" s="35" t="n">
        <f aca="false">SIP_Fund1_PPFAS!C91</f>
        <v>10000</v>
      </c>
      <c r="D218" s="36" t="n">
        <f aca="false">SIP_Fund1_PPFAS!H91</f>
        <v>152.533231608533</v>
      </c>
      <c r="E218" s="37" t="n">
        <f aca="false">SIP_Fund1_PPFAS!I91</f>
        <v>65.5594842811982</v>
      </c>
      <c r="F218" s="33" t="n">
        <f aca="false">Assumptions!$C$5-B218</f>
        <v>1415</v>
      </c>
      <c r="G218" s="36" t="n">
        <f aca="false">Assumptions!$D$20*(1+Assumptions!$F$20)^((Assumptions!$C$5-Assumptions!$C$4)/365)</f>
        <v>232.452118359096</v>
      </c>
      <c r="H218" s="35" t="n">
        <f aca="false">E218*G218</f>
        <v>15239.4409996944</v>
      </c>
      <c r="I218" s="47" t="n">
        <f aca="false">IF(F218&lt;365,Assumptions!$G$20,IF(F218&lt;=730,Assumptions!$H$20,Assumptions!$I$20))</f>
        <v>0</v>
      </c>
      <c r="J218" s="35" t="n">
        <f aca="false">H218*I218</f>
        <v>0</v>
      </c>
      <c r="K218" s="35" t="n">
        <f aca="false">H218-J218</f>
        <v>15239.4409996944</v>
      </c>
      <c r="L218" s="35" t="n">
        <f aca="false">K218-C218</f>
        <v>5239.44099969437</v>
      </c>
      <c r="M218" s="33" t="str">
        <f aca="false">IF(F218&gt;365,"LTCG","STCG")</f>
        <v>LTCG</v>
      </c>
      <c r="N218" s="47" t="n">
        <f aca="false">IF(M218="LTCG",Assumptions!$C$12,Assumptions!$C$11)</f>
        <v>0.125</v>
      </c>
      <c r="O218" s="33" t="str">
        <f aca="false">IF(M218="STCG",MAX(L218,0)*Assumptions!$C$11,"agg. below")</f>
        <v>agg. below</v>
      </c>
    </row>
    <row r="219" customFormat="false" ht="15" hidden="false" customHeight="false" outlineLevel="1" collapsed="false">
      <c r="A219" s="38" t="str">
        <f aca="false">TEXT(SIP_Fund1_PPFAS!B92,"mmm-yyyy")</f>
        <v>Apr-2032</v>
      </c>
      <c r="B219" s="39" t="n">
        <f aca="false">SIP_Fund1_PPFAS!B92</f>
        <v>48305</v>
      </c>
      <c r="C219" s="40" t="n">
        <f aca="false">SIP_Fund1_PPFAS!C92</f>
        <v>10000</v>
      </c>
      <c r="D219" s="41" t="n">
        <f aca="false">SIP_Fund1_PPFAS!H92</f>
        <v>153.947620419943</v>
      </c>
      <c r="E219" s="42" t="n">
        <f aca="false">SIP_Fund1_PPFAS!I92</f>
        <v>64.957158627861</v>
      </c>
      <c r="F219" s="38" t="n">
        <f aca="false">Assumptions!$C$5-B219</f>
        <v>1384</v>
      </c>
      <c r="G219" s="41" t="n">
        <f aca="false">Assumptions!$D$20*(1+Assumptions!$F$20)^((Assumptions!$C$5-Assumptions!$C$4)/365)</f>
        <v>232.452118359096</v>
      </c>
      <c r="H219" s="40" t="n">
        <f aca="false">E219*G219</f>
        <v>15099.4291256341</v>
      </c>
      <c r="I219" s="48" t="n">
        <f aca="false">IF(F219&lt;365,Assumptions!$G$20,IF(F219&lt;=730,Assumptions!$H$20,Assumptions!$I$20))</f>
        <v>0</v>
      </c>
      <c r="J219" s="40" t="n">
        <f aca="false">H219*I219</f>
        <v>0</v>
      </c>
      <c r="K219" s="40" t="n">
        <f aca="false">H219-J219</f>
        <v>15099.4291256341</v>
      </c>
      <c r="L219" s="40" t="n">
        <f aca="false">K219-C219</f>
        <v>5099.42912563411</v>
      </c>
      <c r="M219" s="38" t="str">
        <f aca="false">IF(F219&gt;365,"LTCG","STCG")</f>
        <v>LTCG</v>
      </c>
      <c r="N219" s="48" t="n">
        <f aca="false">IF(M219="LTCG",Assumptions!$C$12,Assumptions!$C$11)</f>
        <v>0.125</v>
      </c>
      <c r="O219" s="38" t="str">
        <f aca="false">IF(M219="STCG",MAX(L219,0)*Assumptions!$C$11,"agg. below")</f>
        <v>agg. below</v>
      </c>
    </row>
    <row r="220" customFormat="false" ht="15" hidden="false" customHeight="false" outlineLevel="1" collapsed="false">
      <c r="A220" s="33" t="str">
        <f aca="false">TEXT(SIP_Fund1_PPFAS!B93,"mmm-yyyy")</f>
        <v>May-2032</v>
      </c>
      <c r="B220" s="34" t="n">
        <f aca="false">SIP_Fund1_PPFAS!B93</f>
        <v>48335</v>
      </c>
      <c r="C220" s="35" t="n">
        <f aca="false">SIP_Fund1_PPFAS!C93</f>
        <v>10000</v>
      </c>
      <c r="D220" s="36" t="n">
        <f aca="false">SIP_Fund1_PPFAS!H93</f>
        <v>155.328869910256</v>
      </c>
      <c r="E220" s="37" t="n">
        <f aca="false">SIP_Fund1_PPFAS!I93</f>
        <v>64.3795323160316</v>
      </c>
      <c r="F220" s="33" t="n">
        <f aca="false">Assumptions!$C$5-B220</f>
        <v>1354</v>
      </c>
      <c r="G220" s="36" t="n">
        <f aca="false">Assumptions!$D$20*(1+Assumptions!$F$20)^((Assumptions!$C$5-Assumptions!$C$4)/365)</f>
        <v>232.452118359096</v>
      </c>
      <c r="H220" s="35" t="n">
        <f aca="false">E220*G220</f>
        <v>14965.1586658294</v>
      </c>
      <c r="I220" s="47" t="n">
        <f aca="false">IF(F220&lt;365,Assumptions!$G$20,IF(F220&lt;=730,Assumptions!$H$20,Assumptions!$I$20))</f>
        <v>0</v>
      </c>
      <c r="J220" s="35" t="n">
        <f aca="false">H220*I220</f>
        <v>0</v>
      </c>
      <c r="K220" s="35" t="n">
        <f aca="false">H220-J220</f>
        <v>14965.1586658294</v>
      </c>
      <c r="L220" s="35" t="n">
        <f aca="false">K220-C220</f>
        <v>4965.15866582942</v>
      </c>
      <c r="M220" s="33" t="str">
        <f aca="false">IF(F220&gt;365,"LTCG","STCG")</f>
        <v>LTCG</v>
      </c>
      <c r="N220" s="47" t="n">
        <f aca="false">IF(M220="LTCG",Assumptions!$C$12,Assumptions!$C$11)</f>
        <v>0.125</v>
      </c>
      <c r="O220" s="33" t="str">
        <f aca="false">IF(M220="STCG",MAX(L220,0)*Assumptions!$C$11,"agg. below")</f>
        <v>agg. below</v>
      </c>
    </row>
    <row r="221" customFormat="false" ht="15" hidden="false" customHeight="false" outlineLevel="1" collapsed="false">
      <c r="A221" s="38" t="str">
        <f aca="false">TEXT(SIP_Fund1_PPFAS!B94,"mmm-yyyy")</f>
        <v>Jun-2032</v>
      </c>
      <c r="B221" s="39" t="n">
        <f aca="false">SIP_Fund1_PPFAS!B94</f>
        <v>48366</v>
      </c>
      <c r="C221" s="40" t="n">
        <f aca="false">SIP_Fund1_PPFAS!C94</f>
        <v>10000</v>
      </c>
      <c r="D221" s="41" t="n">
        <f aca="false">SIP_Fund1_PPFAS!H94</f>
        <v>156.769181725414</v>
      </c>
      <c r="E221" s="42" t="n">
        <f aca="false">SIP_Fund1_PPFAS!I94</f>
        <v>63.7880474334253</v>
      </c>
      <c r="F221" s="38" t="n">
        <f aca="false">Assumptions!$C$5-B221</f>
        <v>1323</v>
      </c>
      <c r="G221" s="41" t="n">
        <f aca="false">Assumptions!$D$20*(1+Assumptions!$F$20)^((Assumptions!$C$5-Assumptions!$C$4)/365)</f>
        <v>232.452118359096</v>
      </c>
      <c r="H221" s="40" t="n">
        <f aca="false">E221*G221</f>
        <v>14827.6667518902</v>
      </c>
      <c r="I221" s="48" t="n">
        <f aca="false">IF(F221&lt;365,Assumptions!$G$20,IF(F221&lt;=730,Assumptions!$H$20,Assumptions!$I$20))</f>
        <v>0</v>
      </c>
      <c r="J221" s="40" t="n">
        <f aca="false">H221*I221</f>
        <v>0</v>
      </c>
      <c r="K221" s="40" t="n">
        <f aca="false">H221-J221</f>
        <v>14827.6667518902</v>
      </c>
      <c r="L221" s="40" t="n">
        <f aca="false">K221-C221</f>
        <v>4827.66675189018</v>
      </c>
      <c r="M221" s="38" t="str">
        <f aca="false">IF(F221&gt;365,"LTCG","STCG")</f>
        <v>LTCG</v>
      </c>
      <c r="N221" s="48" t="n">
        <f aca="false">IF(M221="LTCG",Assumptions!$C$12,Assumptions!$C$11)</f>
        <v>0.125</v>
      </c>
      <c r="O221" s="38" t="str">
        <f aca="false">IF(M221="STCG",MAX(L221,0)*Assumptions!$C$11,"agg. below")</f>
        <v>agg. below</v>
      </c>
    </row>
    <row r="222" customFormat="false" ht="15" hidden="false" customHeight="false" outlineLevel="1" collapsed="false">
      <c r="A222" s="33" t="str">
        <f aca="false">TEXT(SIP_Fund1_PPFAS!B95,"mmm-yyyy")</f>
        <v>Jul-2032</v>
      </c>
      <c r="B222" s="34" t="n">
        <f aca="false">SIP_Fund1_PPFAS!B95</f>
        <v>48396</v>
      </c>
      <c r="C222" s="35" t="n">
        <f aca="false">SIP_Fund1_PPFAS!C95</f>
        <v>10000</v>
      </c>
      <c r="D222" s="36" t="n">
        <f aca="false">SIP_Fund1_PPFAS!H95</f>
        <v>158.175746839992</v>
      </c>
      <c r="E222" s="37" t="n">
        <f aca="false">SIP_Fund1_PPFAS!I95</f>
        <v>63.220817348919</v>
      </c>
      <c r="F222" s="33" t="n">
        <f aca="false">Assumptions!$C$5-B222</f>
        <v>1293</v>
      </c>
      <c r="G222" s="36" t="n">
        <f aca="false">Assumptions!$D$20*(1+Assumptions!$F$20)^((Assumptions!$C$5-Assumptions!$C$4)/365)</f>
        <v>232.452118359096</v>
      </c>
      <c r="H222" s="35" t="n">
        <f aca="false">E222*G222</f>
        <v>14695.8129171497</v>
      </c>
      <c r="I222" s="47" t="n">
        <f aca="false">IF(F222&lt;365,Assumptions!$G$20,IF(F222&lt;=730,Assumptions!$H$20,Assumptions!$I$20))</f>
        <v>0</v>
      </c>
      <c r="J222" s="35" t="n">
        <f aca="false">H222*I222</f>
        <v>0</v>
      </c>
      <c r="K222" s="35" t="n">
        <f aca="false">H222-J222</f>
        <v>14695.8129171497</v>
      </c>
      <c r="L222" s="35" t="n">
        <f aca="false">K222-C222</f>
        <v>4695.8129171497</v>
      </c>
      <c r="M222" s="33" t="str">
        <f aca="false">IF(F222&gt;365,"LTCG","STCG")</f>
        <v>LTCG</v>
      </c>
      <c r="N222" s="47" t="n">
        <f aca="false">IF(M222="LTCG",Assumptions!$C$12,Assumptions!$C$11)</f>
        <v>0.125</v>
      </c>
      <c r="O222" s="33" t="str">
        <f aca="false">IF(M222="STCG",MAX(L222,0)*Assumptions!$C$11,"agg. below")</f>
        <v>agg. below</v>
      </c>
    </row>
    <row r="223" customFormat="false" ht="15" hidden="false" customHeight="false" outlineLevel="1" collapsed="false">
      <c r="A223" s="38" t="str">
        <f aca="false">TEXT(SIP_Fund1_PPFAS!B96,"mmm-yyyy")</f>
        <v>Aug-2032</v>
      </c>
      <c r="B223" s="39" t="n">
        <f aca="false">SIP_Fund1_PPFAS!B96</f>
        <v>48427</v>
      </c>
      <c r="C223" s="40" t="n">
        <f aca="false">SIP_Fund1_PPFAS!C96</f>
        <v>10000</v>
      </c>
      <c r="D223" s="41" t="n">
        <f aca="false">SIP_Fund1_PPFAS!H96</f>
        <v>159.642456777281</v>
      </c>
      <c r="E223" s="42" t="n">
        <f aca="false">SIP_Fund1_PPFAS!I96</f>
        <v>62.6399781228069</v>
      </c>
      <c r="F223" s="38" t="n">
        <f aca="false">Assumptions!$C$5-B223</f>
        <v>1262</v>
      </c>
      <c r="G223" s="41" t="n">
        <f aca="false">Assumptions!$D$20*(1+Assumptions!$F$20)^((Assumptions!$C$5-Assumptions!$C$4)/365)</f>
        <v>232.452118359096</v>
      </c>
      <c r="H223" s="40" t="n">
        <f aca="false">E223*G223</f>
        <v>14560.7956086139</v>
      </c>
      <c r="I223" s="48" t="n">
        <f aca="false">IF(F223&lt;365,Assumptions!$G$20,IF(F223&lt;=730,Assumptions!$H$20,Assumptions!$I$20))</f>
        <v>0</v>
      </c>
      <c r="J223" s="40" t="n">
        <f aca="false">H223*I223</f>
        <v>0</v>
      </c>
      <c r="K223" s="40" t="n">
        <f aca="false">H223-J223</f>
        <v>14560.7956086139</v>
      </c>
      <c r="L223" s="40" t="n">
        <f aca="false">K223-C223</f>
        <v>4560.79560861388</v>
      </c>
      <c r="M223" s="38" t="str">
        <f aca="false">IF(F223&gt;365,"LTCG","STCG")</f>
        <v>LTCG</v>
      </c>
      <c r="N223" s="48" t="n">
        <f aca="false">IF(M223="LTCG",Assumptions!$C$12,Assumptions!$C$11)</f>
        <v>0.125</v>
      </c>
      <c r="O223" s="38" t="str">
        <f aca="false">IF(M223="STCG",MAX(L223,0)*Assumptions!$C$11,"agg. below")</f>
        <v>agg. below</v>
      </c>
    </row>
    <row r="224" customFormat="false" ht="15" hidden="false" customHeight="false" outlineLevel="1" collapsed="false">
      <c r="A224" s="33" t="str">
        <f aca="false">TEXT(SIP_Fund1_PPFAS!B97,"mmm-yyyy")</f>
        <v>Sep-2032</v>
      </c>
      <c r="B224" s="34" t="n">
        <f aca="false">SIP_Fund1_PPFAS!B97</f>
        <v>48458</v>
      </c>
      <c r="C224" s="35" t="n">
        <f aca="false">SIP_Fund1_PPFAS!C97</f>
        <v>10000</v>
      </c>
      <c r="D224" s="36" t="n">
        <f aca="false">SIP_Fund1_PPFAS!H97</f>
        <v>161.12276701729</v>
      </c>
      <c r="E224" s="37" t="n">
        <f aca="false">SIP_Fund1_PPFAS!I97</f>
        <v>62.064475338404</v>
      </c>
      <c r="F224" s="33" t="n">
        <f aca="false">Assumptions!$C$5-B224</f>
        <v>1231</v>
      </c>
      <c r="G224" s="36" t="n">
        <f aca="false">Assumptions!$D$20*(1+Assumptions!$F$20)^((Assumptions!$C$5-Assumptions!$C$4)/365)</f>
        <v>232.452118359096</v>
      </c>
      <c r="H224" s="35" t="n">
        <f aca="false">E224*G224</f>
        <v>14427.0187672579</v>
      </c>
      <c r="I224" s="47" t="n">
        <f aca="false">IF(F224&lt;365,Assumptions!$G$20,IF(F224&lt;=730,Assumptions!$H$20,Assumptions!$I$20))</f>
        <v>0</v>
      </c>
      <c r="J224" s="35" t="n">
        <f aca="false">H224*I224</f>
        <v>0</v>
      </c>
      <c r="K224" s="35" t="n">
        <f aca="false">H224-J224</f>
        <v>14427.0187672579</v>
      </c>
      <c r="L224" s="35" t="n">
        <f aca="false">K224-C224</f>
        <v>4427.01876725786</v>
      </c>
      <c r="M224" s="33" t="str">
        <f aca="false">IF(F224&gt;365,"LTCG","STCG")</f>
        <v>LTCG</v>
      </c>
      <c r="N224" s="47" t="n">
        <f aca="false">IF(M224="LTCG",Assumptions!$C$12,Assumptions!$C$11)</f>
        <v>0.125</v>
      </c>
      <c r="O224" s="33" t="str">
        <f aca="false">IF(M224="STCG",MAX(L224,0)*Assumptions!$C$11,"agg. below")</f>
        <v>agg. below</v>
      </c>
    </row>
    <row r="225" customFormat="false" ht="15" hidden="false" customHeight="false" outlineLevel="1" collapsed="false">
      <c r="A225" s="38" t="str">
        <f aca="false">TEXT(SIP_Fund1_PPFAS!B98,"mmm-yyyy")</f>
        <v>Oct-2032</v>
      </c>
      <c r="B225" s="39" t="n">
        <f aca="false">SIP_Fund1_PPFAS!B98</f>
        <v>48488</v>
      </c>
      <c r="C225" s="40" t="n">
        <f aca="false">SIP_Fund1_PPFAS!C98</f>
        <v>10000</v>
      </c>
      <c r="D225" s="41" t="n">
        <f aca="false">SIP_Fund1_PPFAS!H98</f>
        <v>162.568393388216</v>
      </c>
      <c r="E225" s="42" t="n">
        <f aca="false">SIP_Fund1_PPFAS!I98</f>
        <v>61.5125719802116</v>
      </c>
      <c r="F225" s="38" t="n">
        <f aca="false">Assumptions!$C$5-B225</f>
        <v>1201</v>
      </c>
      <c r="G225" s="41" t="n">
        <f aca="false">Assumptions!$D$20*(1+Assumptions!$F$20)^((Assumptions!$C$5-Assumptions!$C$4)/365)</f>
        <v>232.452118359096</v>
      </c>
      <c r="H225" s="40" t="n">
        <f aca="false">E225*G225</f>
        <v>14298.7276625166</v>
      </c>
      <c r="I225" s="48" t="n">
        <f aca="false">IF(F225&lt;365,Assumptions!$G$20,IF(F225&lt;=730,Assumptions!$H$20,Assumptions!$I$20))</f>
        <v>0</v>
      </c>
      <c r="J225" s="40" t="n">
        <f aca="false">H225*I225</f>
        <v>0</v>
      </c>
      <c r="K225" s="40" t="n">
        <f aca="false">H225-J225</f>
        <v>14298.7276625166</v>
      </c>
      <c r="L225" s="40" t="n">
        <f aca="false">K225-C225</f>
        <v>4298.72766251656</v>
      </c>
      <c r="M225" s="38" t="str">
        <f aca="false">IF(F225&gt;365,"LTCG","STCG")</f>
        <v>LTCG</v>
      </c>
      <c r="N225" s="48" t="n">
        <f aca="false">IF(M225="LTCG",Assumptions!$C$12,Assumptions!$C$11)</f>
        <v>0.125</v>
      </c>
      <c r="O225" s="38" t="str">
        <f aca="false">IF(M225="STCG",MAX(L225,0)*Assumptions!$C$11,"agg. below")</f>
        <v>agg. below</v>
      </c>
    </row>
    <row r="226" customFormat="false" ht="15" hidden="false" customHeight="false" outlineLevel="1" collapsed="false">
      <c r="A226" s="33" t="str">
        <f aca="false">TEXT(SIP_Fund1_PPFAS!B99,"mmm-yyyy")</f>
        <v>Nov-2032</v>
      </c>
      <c r="B226" s="34" t="n">
        <f aca="false">SIP_Fund1_PPFAS!B99</f>
        <v>48519</v>
      </c>
      <c r="C226" s="35" t="n">
        <f aca="false">SIP_Fund1_PPFAS!C99</f>
        <v>10000</v>
      </c>
      <c r="D226" s="36" t="n">
        <f aca="false">SIP_Fund1_PPFAS!H99</f>
        <v>164.075834843907</v>
      </c>
      <c r="E226" s="37" t="n">
        <f aca="false">SIP_Fund1_PPFAS!I99</f>
        <v>60.9474272034847</v>
      </c>
      <c r="F226" s="33" t="n">
        <f aca="false">Assumptions!$C$5-B226</f>
        <v>1170</v>
      </c>
      <c r="G226" s="36" t="n">
        <f aca="false">Assumptions!$D$20*(1+Assumptions!$F$20)^((Assumptions!$C$5-Assumptions!$C$4)/365)</f>
        <v>232.452118359096</v>
      </c>
      <c r="H226" s="35" t="n">
        <f aca="false">E226*G226</f>
        <v>14167.3585619868</v>
      </c>
      <c r="I226" s="47" t="n">
        <f aca="false">IF(F226&lt;365,Assumptions!$G$20,IF(F226&lt;=730,Assumptions!$H$20,Assumptions!$I$20))</f>
        <v>0</v>
      </c>
      <c r="J226" s="35" t="n">
        <f aca="false">H226*I226</f>
        <v>0</v>
      </c>
      <c r="K226" s="35" t="n">
        <f aca="false">H226-J226</f>
        <v>14167.3585619868</v>
      </c>
      <c r="L226" s="35" t="n">
        <f aca="false">K226-C226</f>
        <v>4167.35856198679</v>
      </c>
      <c r="M226" s="33" t="str">
        <f aca="false">IF(F226&gt;365,"LTCG","STCG")</f>
        <v>LTCG</v>
      </c>
      <c r="N226" s="47" t="n">
        <f aca="false">IF(M226="LTCG",Assumptions!$C$12,Assumptions!$C$11)</f>
        <v>0.125</v>
      </c>
      <c r="O226" s="33" t="str">
        <f aca="false">IF(M226="STCG",MAX(L226,0)*Assumptions!$C$11,"agg. below")</f>
        <v>agg. below</v>
      </c>
    </row>
    <row r="227" customFormat="false" ht="15" hidden="false" customHeight="false" outlineLevel="1" collapsed="false">
      <c r="A227" s="38" t="str">
        <f aca="false">TEXT(SIP_Fund1_PPFAS!B100,"mmm-yyyy")</f>
        <v>Dec-2032</v>
      </c>
      <c r="B227" s="39" t="n">
        <f aca="false">SIP_Fund1_PPFAS!B100</f>
        <v>48549</v>
      </c>
      <c r="C227" s="40" t="n">
        <f aca="false">SIP_Fund1_PPFAS!C100</f>
        <v>10000</v>
      </c>
      <c r="D227" s="41" t="n">
        <f aca="false">SIP_Fund1_PPFAS!H100</f>
        <v>165.547956742463</v>
      </c>
      <c r="E227" s="42" t="n">
        <f aca="false">SIP_Fund1_PPFAS!I100</f>
        <v>60.4054571060436</v>
      </c>
      <c r="F227" s="38" t="n">
        <f aca="false">Assumptions!$C$5-B227</f>
        <v>1140</v>
      </c>
      <c r="G227" s="41" t="n">
        <f aca="false">Assumptions!$D$20*(1+Assumptions!$F$20)^((Assumptions!$C$5-Assumptions!$C$4)/365)</f>
        <v>232.452118359096</v>
      </c>
      <c r="H227" s="40" t="n">
        <f aca="false">E227*G227</f>
        <v>14041.3764647493</v>
      </c>
      <c r="I227" s="48" t="n">
        <f aca="false">IF(F227&lt;365,Assumptions!$G$20,IF(F227&lt;=730,Assumptions!$H$20,Assumptions!$I$20))</f>
        <v>0</v>
      </c>
      <c r="J227" s="40" t="n">
        <f aca="false">H227*I227</f>
        <v>0</v>
      </c>
      <c r="K227" s="40" t="n">
        <f aca="false">H227-J227</f>
        <v>14041.3764647493</v>
      </c>
      <c r="L227" s="40" t="n">
        <f aca="false">K227-C227</f>
        <v>4041.37646474932</v>
      </c>
      <c r="M227" s="38" t="str">
        <f aca="false">IF(F227&gt;365,"LTCG","STCG")</f>
        <v>LTCG</v>
      </c>
      <c r="N227" s="48" t="n">
        <f aca="false">IF(M227="LTCG",Assumptions!$C$12,Assumptions!$C$11)</f>
        <v>0.125</v>
      </c>
      <c r="O227" s="38" t="str">
        <f aca="false">IF(M227="STCG",MAX(L227,0)*Assumptions!$C$11,"agg. below")</f>
        <v>agg. below</v>
      </c>
    </row>
    <row r="228" customFormat="false" ht="15" hidden="false" customHeight="false" outlineLevel="1" collapsed="false">
      <c r="A228" s="33" t="str">
        <f aca="false">TEXT(SIP_Fund1_PPFAS!B101,"mmm-yyyy")</f>
        <v>Jan-2033</v>
      </c>
      <c r="B228" s="34" t="n">
        <f aca="false">SIP_Fund1_PPFAS!B101</f>
        <v>48580</v>
      </c>
      <c r="C228" s="35" t="n">
        <f aca="false">SIP_Fund1_PPFAS!C101</f>
        <v>11000</v>
      </c>
      <c r="D228" s="36" t="n">
        <f aca="false">SIP_Fund1_PPFAS!H101</f>
        <v>167.083026676399</v>
      </c>
      <c r="E228" s="37" t="n">
        <f aca="false">SIP_Fund1_PPFAS!I101</f>
        <v>65.8355323027781</v>
      </c>
      <c r="F228" s="33" t="n">
        <f aca="false">Assumptions!$C$5-B228</f>
        <v>1109</v>
      </c>
      <c r="G228" s="36" t="n">
        <f aca="false">Assumptions!$D$20*(1+Assumptions!$F$20)^((Assumptions!$C$5-Assumptions!$C$4)/365)</f>
        <v>232.452118359096</v>
      </c>
      <c r="H228" s="35" t="n">
        <f aca="false">E228*G228</f>
        <v>15303.6089470794</v>
      </c>
      <c r="I228" s="47" t="n">
        <f aca="false">IF(F228&lt;365,Assumptions!$G$20,IF(F228&lt;=730,Assumptions!$H$20,Assumptions!$I$20))</f>
        <v>0</v>
      </c>
      <c r="J228" s="35" t="n">
        <f aca="false">H228*I228</f>
        <v>0</v>
      </c>
      <c r="K228" s="35" t="n">
        <f aca="false">H228-J228</f>
        <v>15303.6089470794</v>
      </c>
      <c r="L228" s="35" t="n">
        <f aca="false">K228-C228</f>
        <v>4303.60894707945</v>
      </c>
      <c r="M228" s="33" t="str">
        <f aca="false">IF(F228&gt;365,"LTCG","STCG")</f>
        <v>LTCG</v>
      </c>
      <c r="N228" s="47" t="n">
        <f aca="false">IF(M228="LTCG",Assumptions!$C$12,Assumptions!$C$11)</f>
        <v>0.125</v>
      </c>
      <c r="O228" s="33" t="str">
        <f aca="false">IF(M228="STCG",MAX(L228,0)*Assumptions!$C$11,"agg. below")</f>
        <v>agg. below</v>
      </c>
    </row>
    <row r="229" customFormat="false" ht="15" hidden="false" customHeight="false" outlineLevel="1" collapsed="false">
      <c r="A229" s="38" t="str">
        <f aca="false">TEXT(SIP_Fund1_PPFAS!B102,"mmm-yyyy")</f>
        <v>Feb-2033</v>
      </c>
      <c r="B229" s="39" t="n">
        <f aca="false">SIP_Fund1_PPFAS!B102</f>
        <v>48611</v>
      </c>
      <c r="C229" s="40" t="n">
        <f aca="false">SIP_Fund1_PPFAS!C102</f>
        <v>11000</v>
      </c>
      <c r="D229" s="41" t="n">
        <f aca="false">SIP_Fund1_PPFAS!H102</f>
        <v>168.63233079207</v>
      </c>
      <c r="E229" s="42" t="n">
        <f aca="false">SIP_Fund1_PPFAS!I102</f>
        <v>65.2306704671208</v>
      </c>
      <c r="F229" s="38" t="n">
        <f aca="false">Assumptions!$C$5-B229</f>
        <v>1078</v>
      </c>
      <c r="G229" s="41" t="n">
        <f aca="false">Assumptions!$D$20*(1+Assumptions!$F$20)^((Assumptions!$C$5-Assumptions!$C$4)/365)</f>
        <v>232.452118359096</v>
      </c>
      <c r="H229" s="40" t="n">
        <f aca="false">E229*G229</f>
        <v>15163.0075320663</v>
      </c>
      <c r="I229" s="48" t="n">
        <f aca="false">IF(F229&lt;365,Assumptions!$G$20,IF(F229&lt;=730,Assumptions!$H$20,Assumptions!$I$20))</f>
        <v>0</v>
      </c>
      <c r="J229" s="40" t="n">
        <f aca="false">H229*I229</f>
        <v>0</v>
      </c>
      <c r="K229" s="40" t="n">
        <f aca="false">H229-J229</f>
        <v>15163.0075320663</v>
      </c>
      <c r="L229" s="40" t="n">
        <f aca="false">K229-C229</f>
        <v>4163.00753206633</v>
      </c>
      <c r="M229" s="38" t="str">
        <f aca="false">IF(F229&gt;365,"LTCG","STCG")</f>
        <v>LTCG</v>
      </c>
      <c r="N229" s="48" t="n">
        <f aca="false">IF(M229="LTCG",Assumptions!$C$12,Assumptions!$C$11)</f>
        <v>0.125</v>
      </c>
      <c r="O229" s="38" t="str">
        <f aca="false">IF(M229="STCG",MAX(L229,0)*Assumptions!$C$11,"agg. below")</f>
        <v>agg. below</v>
      </c>
    </row>
    <row r="230" customFormat="false" ht="15" hidden="false" customHeight="false" outlineLevel="1" collapsed="false">
      <c r="A230" s="33" t="str">
        <f aca="false">TEXT(SIP_Fund1_PPFAS!B103,"mmm-yyyy")</f>
        <v>Mar-2033</v>
      </c>
      <c r="B230" s="34" t="n">
        <f aca="false">SIP_Fund1_PPFAS!B103</f>
        <v>48639</v>
      </c>
      <c r="C230" s="35" t="n">
        <f aca="false">SIP_Fund1_PPFAS!C103</f>
        <v>11000</v>
      </c>
      <c r="D230" s="36" t="n">
        <f aca="false">SIP_Fund1_PPFAS!H103</f>
        <v>170.044046597193</v>
      </c>
      <c r="E230" s="37" t="n">
        <f aca="false">SIP_Fund1_PPFAS!I103</f>
        <v>64.6891215548242</v>
      </c>
      <c r="F230" s="33" t="n">
        <f aca="false">Assumptions!$C$5-B230</f>
        <v>1050</v>
      </c>
      <c r="G230" s="36" t="n">
        <f aca="false">Assumptions!$D$20*(1+Assumptions!$F$20)^((Assumptions!$C$5-Assumptions!$C$4)/365)</f>
        <v>232.452118359096</v>
      </c>
      <c r="H230" s="35" t="n">
        <f aca="false">E230*G230</f>
        <v>15037.1233402079</v>
      </c>
      <c r="I230" s="47" t="n">
        <f aca="false">IF(F230&lt;365,Assumptions!$G$20,IF(F230&lt;=730,Assumptions!$H$20,Assumptions!$I$20))</f>
        <v>0</v>
      </c>
      <c r="J230" s="35" t="n">
        <f aca="false">H230*I230</f>
        <v>0</v>
      </c>
      <c r="K230" s="35" t="n">
        <f aca="false">H230-J230</f>
        <v>15037.1233402079</v>
      </c>
      <c r="L230" s="35" t="n">
        <f aca="false">K230-C230</f>
        <v>4037.12334020793</v>
      </c>
      <c r="M230" s="33" t="str">
        <f aca="false">IF(F230&gt;365,"LTCG","STCG")</f>
        <v>LTCG</v>
      </c>
      <c r="N230" s="47" t="n">
        <f aca="false">IF(M230="LTCG",Assumptions!$C$12,Assumptions!$C$11)</f>
        <v>0.125</v>
      </c>
      <c r="O230" s="33" t="str">
        <f aca="false">IF(M230="STCG",MAX(L230,0)*Assumptions!$C$11,"agg. below")</f>
        <v>agg. below</v>
      </c>
    </row>
    <row r="231" customFormat="false" ht="15" hidden="false" customHeight="false" outlineLevel="1" collapsed="false">
      <c r="A231" s="38" t="str">
        <f aca="false">TEXT(SIP_Fund1_PPFAS!B104,"mmm-yyyy")</f>
        <v>Apr-2033</v>
      </c>
      <c r="B231" s="39" t="n">
        <f aca="false">SIP_Fund1_PPFAS!B104</f>
        <v>48670</v>
      </c>
      <c r="C231" s="40" t="n">
        <f aca="false">SIP_Fund1_PPFAS!C104</f>
        <v>11000</v>
      </c>
      <c r="D231" s="41" t="n">
        <f aca="false">SIP_Fund1_PPFAS!H104</f>
        <v>171.620807244153</v>
      </c>
      <c r="E231" s="42" t="n">
        <f aca="false">SIP_Fund1_PPFAS!I104</f>
        <v>64.0947923310433</v>
      </c>
      <c r="F231" s="38" t="n">
        <f aca="false">Assumptions!$C$5-B231</f>
        <v>1019</v>
      </c>
      <c r="G231" s="41" t="n">
        <f aca="false">Assumptions!$D$20*(1+Assumptions!$F$20)^((Assumptions!$C$5-Assumptions!$C$4)/365)</f>
        <v>232.452118359096</v>
      </c>
      <c r="H231" s="40" t="n">
        <f aca="false">E231*G231</f>
        <v>14898.9702531373</v>
      </c>
      <c r="I231" s="48" t="n">
        <f aca="false">IF(F231&lt;365,Assumptions!$G$20,IF(F231&lt;=730,Assumptions!$H$20,Assumptions!$I$20))</f>
        <v>0</v>
      </c>
      <c r="J231" s="40" t="n">
        <f aca="false">H231*I231</f>
        <v>0</v>
      </c>
      <c r="K231" s="40" t="n">
        <f aca="false">H231-J231</f>
        <v>14898.9702531373</v>
      </c>
      <c r="L231" s="40" t="n">
        <f aca="false">K231-C231</f>
        <v>3898.97025313735</v>
      </c>
      <c r="M231" s="38" t="str">
        <f aca="false">IF(F231&gt;365,"LTCG","STCG")</f>
        <v>LTCG</v>
      </c>
      <c r="N231" s="48" t="n">
        <f aca="false">IF(M231="LTCG",Assumptions!$C$12,Assumptions!$C$11)</f>
        <v>0.125</v>
      </c>
      <c r="O231" s="38" t="str">
        <f aca="false">IF(M231="STCG",MAX(L231,0)*Assumptions!$C$11,"agg. below")</f>
        <v>agg. below</v>
      </c>
    </row>
    <row r="232" customFormat="false" ht="15" hidden="false" customHeight="false" outlineLevel="1" collapsed="false">
      <c r="A232" s="33" t="str">
        <f aca="false">TEXT(SIP_Fund1_PPFAS!B105,"mmm-yyyy")</f>
        <v>May-2033</v>
      </c>
      <c r="B232" s="34" t="n">
        <f aca="false">SIP_Fund1_PPFAS!B105</f>
        <v>48700</v>
      </c>
      <c r="C232" s="35" t="n">
        <f aca="false">SIP_Fund1_PPFAS!C105</f>
        <v>11000</v>
      </c>
      <c r="D232" s="36" t="n">
        <f aca="false">SIP_Fund1_PPFAS!H105</f>
        <v>173.160624175953</v>
      </c>
      <c r="E232" s="37" t="n">
        <f aca="false">SIP_Fund1_PPFAS!I105</f>
        <v>63.5248345421912</v>
      </c>
      <c r="F232" s="33" t="n">
        <f aca="false">Assumptions!$C$5-B232</f>
        <v>989</v>
      </c>
      <c r="G232" s="36" t="n">
        <f aca="false">Assumptions!$D$20*(1+Assumptions!$F$20)^((Assumptions!$C$5-Assumptions!$C$4)/365)</f>
        <v>232.452118359096</v>
      </c>
      <c r="H232" s="35" t="n">
        <f aca="false">E232*G232</f>
        <v>14766.4823577434</v>
      </c>
      <c r="I232" s="47" t="n">
        <f aca="false">IF(F232&lt;365,Assumptions!$G$20,IF(F232&lt;=730,Assumptions!$H$20,Assumptions!$I$20))</f>
        <v>0</v>
      </c>
      <c r="J232" s="35" t="n">
        <f aca="false">H232*I232</f>
        <v>0</v>
      </c>
      <c r="K232" s="35" t="n">
        <f aca="false">H232-J232</f>
        <v>14766.4823577434</v>
      </c>
      <c r="L232" s="35" t="n">
        <f aca="false">K232-C232</f>
        <v>3766.48235774341</v>
      </c>
      <c r="M232" s="33" t="str">
        <f aca="false">IF(F232&gt;365,"LTCG","STCG")</f>
        <v>LTCG</v>
      </c>
      <c r="N232" s="47" t="n">
        <f aca="false">IF(M232="LTCG",Assumptions!$C$12,Assumptions!$C$11)</f>
        <v>0.125</v>
      </c>
      <c r="O232" s="33" t="str">
        <f aca="false">IF(M232="STCG",MAX(L232,0)*Assumptions!$C$11,"agg. below")</f>
        <v>agg. below</v>
      </c>
    </row>
    <row r="233" customFormat="false" ht="15" hidden="false" customHeight="false" outlineLevel="1" collapsed="false">
      <c r="A233" s="38" t="str">
        <f aca="false">TEXT(SIP_Fund1_PPFAS!B106,"mmm-yyyy")</f>
        <v>Jun-2033</v>
      </c>
      <c r="B233" s="39" t="n">
        <f aca="false">SIP_Fund1_PPFAS!B106</f>
        <v>48731</v>
      </c>
      <c r="C233" s="40" t="n">
        <f aca="false">SIP_Fund1_PPFAS!C106</f>
        <v>11000</v>
      </c>
      <c r="D233" s="41" t="n">
        <f aca="false">SIP_Fund1_PPFAS!H106</f>
        <v>174.766283787492</v>
      </c>
      <c r="E233" s="42" t="n">
        <f aca="false">SIP_Fund1_PPFAS!I106</f>
        <v>62.9412021678936</v>
      </c>
      <c r="F233" s="38" t="n">
        <f aca="false">Assumptions!$C$5-B233</f>
        <v>958</v>
      </c>
      <c r="G233" s="41" t="n">
        <f aca="false">Assumptions!$D$20*(1+Assumptions!$F$20)^((Assumptions!$C$5-Assumptions!$C$4)/365)</f>
        <v>232.452118359096</v>
      </c>
      <c r="H233" s="40" t="n">
        <f aca="false">E233*G233</f>
        <v>14630.815775995</v>
      </c>
      <c r="I233" s="48" t="n">
        <f aca="false">IF(F233&lt;365,Assumptions!$G$20,IF(F233&lt;=730,Assumptions!$H$20,Assumptions!$I$20))</f>
        <v>0</v>
      </c>
      <c r="J233" s="40" t="n">
        <f aca="false">H233*I233</f>
        <v>0</v>
      </c>
      <c r="K233" s="40" t="n">
        <f aca="false">H233-J233</f>
        <v>14630.815775995</v>
      </c>
      <c r="L233" s="40" t="n">
        <f aca="false">K233-C233</f>
        <v>3630.81577599498</v>
      </c>
      <c r="M233" s="38" t="str">
        <f aca="false">IF(F233&gt;365,"LTCG","STCG")</f>
        <v>LTCG</v>
      </c>
      <c r="N233" s="48" t="n">
        <f aca="false">IF(M233="LTCG",Assumptions!$C$12,Assumptions!$C$11)</f>
        <v>0.125</v>
      </c>
      <c r="O233" s="38" t="str">
        <f aca="false">IF(M233="STCG",MAX(L233,0)*Assumptions!$C$11,"agg. below")</f>
        <v>agg. below</v>
      </c>
    </row>
    <row r="234" customFormat="false" ht="15" hidden="false" customHeight="false" outlineLevel="1" collapsed="false">
      <c r="A234" s="33" t="str">
        <f aca="false">TEXT(SIP_Fund1_PPFAS!B107,"mmm-yyyy")</f>
        <v>Jul-2033</v>
      </c>
      <c r="B234" s="34" t="n">
        <f aca="false">SIP_Fund1_PPFAS!B107</f>
        <v>48761</v>
      </c>
      <c r="C234" s="35" t="n">
        <f aca="false">SIP_Fund1_PPFAS!C107</f>
        <v>11000</v>
      </c>
      <c r="D234" s="36" t="n">
        <f aca="false">SIP_Fund1_PPFAS!H107</f>
        <v>176.334322577223</v>
      </c>
      <c r="E234" s="37" t="n">
        <f aca="false">SIP_Fund1_PPFAS!I107</f>
        <v>62.3815025868415</v>
      </c>
      <c r="F234" s="33" t="n">
        <f aca="false">Assumptions!$C$5-B234</f>
        <v>928</v>
      </c>
      <c r="G234" s="36" t="n">
        <f aca="false">Assumptions!$D$20*(1+Assumptions!$F$20)^((Assumptions!$C$5-Assumptions!$C$4)/365)</f>
        <v>232.452118359096</v>
      </c>
      <c r="H234" s="35" t="n">
        <f aca="false">E234*G234</f>
        <v>14500.7124227347</v>
      </c>
      <c r="I234" s="47" t="n">
        <f aca="false">IF(F234&lt;365,Assumptions!$G$20,IF(F234&lt;=730,Assumptions!$H$20,Assumptions!$I$20))</f>
        <v>0</v>
      </c>
      <c r="J234" s="35" t="n">
        <f aca="false">H234*I234</f>
        <v>0</v>
      </c>
      <c r="K234" s="35" t="n">
        <f aca="false">H234-J234</f>
        <v>14500.7124227347</v>
      </c>
      <c r="L234" s="35" t="n">
        <f aca="false">K234-C234</f>
        <v>3500.71242273472</v>
      </c>
      <c r="M234" s="33" t="str">
        <f aca="false">IF(F234&gt;365,"LTCG","STCG")</f>
        <v>LTCG</v>
      </c>
      <c r="N234" s="47" t="n">
        <f aca="false">IF(M234="LTCG",Assumptions!$C$12,Assumptions!$C$11)</f>
        <v>0.125</v>
      </c>
      <c r="O234" s="33" t="str">
        <f aca="false">IF(M234="STCG",MAX(L234,0)*Assumptions!$C$11,"agg. below")</f>
        <v>agg. below</v>
      </c>
    </row>
    <row r="235" customFormat="false" ht="15" hidden="false" customHeight="false" outlineLevel="1" collapsed="false">
      <c r="A235" s="38" t="str">
        <f aca="false">TEXT(SIP_Fund1_PPFAS!B108,"mmm-yyyy")</f>
        <v>Aug-2033</v>
      </c>
      <c r="B235" s="39" t="n">
        <f aca="false">SIP_Fund1_PPFAS!B108</f>
        <v>48792</v>
      </c>
      <c r="C235" s="40" t="n">
        <f aca="false">SIP_Fund1_PPFAS!C108</f>
        <v>11000</v>
      </c>
      <c r="D235" s="41" t="n">
        <f aca="false">SIP_Fund1_PPFAS!H108</f>
        <v>177.969410815312</v>
      </c>
      <c r="E235" s="42" t="n">
        <f aca="false">SIP_Fund1_PPFAS!I108</f>
        <v>61.8083745381123</v>
      </c>
      <c r="F235" s="38" t="n">
        <f aca="false">Assumptions!$C$5-B235</f>
        <v>897</v>
      </c>
      <c r="G235" s="41" t="n">
        <f aca="false">Assumptions!$D$20*(1+Assumptions!$F$20)^((Assumptions!$C$5-Assumptions!$C$4)/365)</f>
        <v>232.452118359096</v>
      </c>
      <c r="H235" s="40" t="n">
        <f aca="false">E235*G235</f>
        <v>14367.4875937166</v>
      </c>
      <c r="I235" s="48" t="n">
        <f aca="false">IF(F235&lt;365,Assumptions!$G$20,IF(F235&lt;=730,Assumptions!$H$20,Assumptions!$I$20))</f>
        <v>0</v>
      </c>
      <c r="J235" s="40" t="n">
        <f aca="false">H235*I235</f>
        <v>0</v>
      </c>
      <c r="K235" s="40" t="n">
        <f aca="false">H235-J235</f>
        <v>14367.4875937166</v>
      </c>
      <c r="L235" s="40" t="n">
        <f aca="false">K235-C235</f>
        <v>3367.4875937166</v>
      </c>
      <c r="M235" s="38" t="str">
        <f aca="false">IF(F235&gt;365,"LTCG","STCG")</f>
        <v>LTCG</v>
      </c>
      <c r="N235" s="48" t="n">
        <f aca="false">IF(M235="LTCG",Assumptions!$C$12,Assumptions!$C$11)</f>
        <v>0.125</v>
      </c>
      <c r="O235" s="38" t="str">
        <f aca="false">IF(M235="STCG",MAX(L235,0)*Assumptions!$C$11,"agg. below")</f>
        <v>agg. below</v>
      </c>
    </row>
    <row r="236" customFormat="false" ht="15" hidden="false" customHeight="false" outlineLevel="1" collapsed="false">
      <c r="A236" s="33" t="str">
        <f aca="false">TEXT(SIP_Fund1_PPFAS!B109,"mmm-yyyy")</f>
        <v>Sep-2033</v>
      </c>
      <c r="B236" s="34" t="n">
        <f aca="false">SIP_Fund1_PPFAS!B109</f>
        <v>48823</v>
      </c>
      <c r="C236" s="35" t="n">
        <f aca="false">SIP_Fund1_PPFAS!C109</f>
        <v>11000</v>
      </c>
      <c r="D236" s="36" t="n">
        <f aca="false">SIP_Fund1_PPFAS!H109</f>
        <v>179.619660670875</v>
      </c>
      <c r="E236" s="37" t="n">
        <f aca="false">SIP_Fund1_PPFAS!I109</f>
        <v>61.2405120848981</v>
      </c>
      <c r="F236" s="33" t="n">
        <f aca="false">Assumptions!$C$5-B236</f>
        <v>866</v>
      </c>
      <c r="G236" s="36" t="n">
        <f aca="false">Assumptions!$D$20*(1+Assumptions!$F$20)^((Assumptions!$C$5-Assumptions!$C$4)/365)</f>
        <v>232.452118359096</v>
      </c>
      <c r="H236" s="35" t="n">
        <f aca="false">E236*G236</f>
        <v>14235.4867635304</v>
      </c>
      <c r="I236" s="47" t="n">
        <f aca="false">IF(F236&lt;365,Assumptions!$G$20,IF(F236&lt;=730,Assumptions!$H$20,Assumptions!$I$20))</f>
        <v>0</v>
      </c>
      <c r="J236" s="35" t="n">
        <f aca="false">H236*I236</f>
        <v>0</v>
      </c>
      <c r="K236" s="35" t="n">
        <f aca="false">H236-J236</f>
        <v>14235.4867635304</v>
      </c>
      <c r="L236" s="35" t="n">
        <f aca="false">K236-C236</f>
        <v>3235.48676353036</v>
      </c>
      <c r="M236" s="33" t="str">
        <f aca="false">IF(F236&gt;365,"LTCG","STCG")</f>
        <v>LTCG</v>
      </c>
      <c r="N236" s="47" t="n">
        <f aca="false">IF(M236="LTCG",Assumptions!$C$12,Assumptions!$C$11)</f>
        <v>0.125</v>
      </c>
      <c r="O236" s="33" t="str">
        <f aca="false">IF(M236="STCG",MAX(L236,0)*Assumptions!$C$11,"agg. below")</f>
        <v>agg. below</v>
      </c>
    </row>
    <row r="237" customFormat="false" ht="15" hidden="false" customHeight="false" outlineLevel="1" collapsed="false">
      <c r="A237" s="38" t="str">
        <f aca="false">TEXT(SIP_Fund1_PPFAS!B110,"mmm-yyyy")</f>
        <v>Oct-2033</v>
      </c>
      <c r="B237" s="39" t="n">
        <f aca="false">SIP_Fund1_PPFAS!B110</f>
        <v>48853</v>
      </c>
      <c r="C237" s="40" t="n">
        <f aca="false">SIP_Fund1_PPFAS!C110</f>
        <v>11000</v>
      </c>
      <c r="D237" s="41" t="n">
        <f aca="false">SIP_Fund1_PPFAS!H110</f>
        <v>181.231244949183</v>
      </c>
      <c r="E237" s="42" t="n">
        <f aca="false">SIP_Fund1_PPFAS!I110</f>
        <v>60.6959357537072</v>
      </c>
      <c r="F237" s="38" t="n">
        <f aca="false">Assumptions!$C$5-B237</f>
        <v>836</v>
      </c>
      <c r="G237" s="41" t="n">
        <f aca="false">Assumptions!$D$20*(1+Assumptions!$F$20)^((Assumptions!$C$5-Assumptions!$C$4)/365)</f>
        <v>232.452118359096</v>
      </c>
      <c r="H237" s="40" t="n">
        <f aca="false">E237*G237</f>
        <v>14108.8988417368</v>
      </c>
      <c r="I237" s="48" t="n">
        <f aca="false">IF(F237&lt;365,Assumptions!$G$20,IF(F237&lt;=730,Assumptions!$H$20,Assumptions!$I$20))</f>
        <v>0</v>
      </c>
      <c r="J237" s="40" t="n">
        <f aca="false">H237*I237</f>
        <v>0</v>
      </c>
      <c r="K237" s="40" t="n">
        <f aca="false">H237-J237</f>
        <v>14108.8988417368</v>
      </c>
      <c r="L237" s="40" t="n">
        <f aca="false">K237-C237</f>
        <v>3108.89884173682</v>
      </c>
      <c r="M237" s="38" t="str">
        <f aca="false">IF(F237&gt;365,"LTCG","STCG")</f>
        <v>LTCG</v>
      </c>
      <c r="N237" s="48" t="n">
        <f aca="false">IF(M237="LTCG",Assumptions!$C$12,Assumptions!$C$11)</f>
        <v>0.125</v>
      </c>
      <c r="O237" s="38" t="str">
        <f aca="false">IF(M237="STCG",MAX(L237,0)*Assumptions!$C$11,"agg. below")</f>
        <v>agg. below</v>
      </c>
    </row>
    <row r="238" customFormat="false" ht="15" hidden="false" customHeight="false" outlineLevel="1" collapsed="false">
      <c r="A238" s="33" t="str">
        <f aca="false">TEXT(SIP_Fund1_PPFAS!B111,"mmm-yyyy")</f>
        <v>Nov-2033</v>
      </c>
      <c r="B238" s="34" t="n">
        <f aca="false">SIP_Fund1_PPFAS!B111</f>
        <v>48884</v>
      </c>
      <c r="C238" s="35" t="n">
        <f aca="false">SIP_Fund1_PPFAS!C111</f>
        <v>11000</v>
      </c>
      <c r="D238" s="36" t="n">
        <f aca="false">SIP_Fund1_PPFAS!H111</f>
        <v>182.911740683988</v>
      </c>
      <c r="E238" s="37" t="n">
        <f aca="false">SIP_Fund1_PPFAS!I111</f>
        <v>60.1382937960469</v>
      </c>
      <c r="F238" s="33" t="n">
        <f aca="false">Assumptions!$C$5-B238</f>
        <v>805</v>
      </c>
      <c r="G238" s="36" t="n">
        <f aca="false">Assumptions!$D$20*(1+Assumptions!$F$20)^((Assumptions!$C$5-Assumptions!$C$4)/365)</f>
        <v>232.452118359096</v>
      </c>
      <c r="H238" s="35" t="n">
        <f aca="false">E238*G238</f>
        <v>13979.2737873928</v>
      </c>
      <c r="I238" s="47" t="n">
        <f aca="false">IF(F238&lt;365,Assumptions!$G$20,IF(F238&lt;=730,Assumptions!$H$20,Assumptions!$I$20))</f>
        <v>0</v>
      </c>
      <c r="J238" s="35" t="n">
        <f aca="false">H238*I238</f>
        <v>0</v>
      </c>
      <c r="K238" s="35" t="n">
        <f aca="false">H238-J238</f>
        <v>13979.2737873928</v>
      </c>
      <c r="L238" s="35" t="n">
        <f aca="false">K238-C238</f>
        <v>2979.27378739278</v>
      </c>
      <c r="M238" s="33" t="str">
        <f aca="false">IF(F238&gt;365,"LTCG","STCG")</f>
        <v>LTCG</v>
      </c>
      <c r="N238" s="47" t="n">
        <f aca="false">IF(M238="LTCG",Assumptions!$C$12,Assumptions!$C$11)</f>
        <v>0.125</v>
      </c>
      <c r="O238" s="33" t="str">
        <f aca="false">IF(M238="STCG",MAX(L238,0)*Assumptions!$C$11,"agg. below")</f>
        <v>agg. below</v>
      </c>
    </row>
    <row r="239" customFormat="false" ht="15" hidden="false" customHeight="false" outlineLevel="1" collapsed="false">
      <c r="A239" s="38" t="str">
        <f aca="false">TEXT(SIP_Fund1_PPFAS!B112,"mmm-yyyy")</f>
        <v>Dec-2033</v>
      </c>
      <c r="B239" s="39" t="n">
        <f aca="false">SIP_Fund1_PPFAS!B112</f>
        <v>48914</v>
      </c>
      <c r="C239" s="40" t="n">
        <f aca="false">SIP_Fund1_PPFAS!C112</f>
        <v>11000</v>
      </c>
      <c r="D239" s="41" t="n">
        <f aca="false">SIP_Fund1_PPFAS!H112</f>
        <v>184.552862176498</v>
      </c>
      <c r="E239" s="42" t="n">
        <f aca="false">SIP_Fund1_PPFAS!I112</f>
        <v>59.6035188523932</v>
      </c>
      <c r="F239" s="38" t="n">
        <f aca="false">Assumptions!$C$5-B239</f>
        <v>775</v>
      </c>
      <c r="G239" s="41" t="n">
        <f aca="false">Assumptions!$D$20*(1+Assumptions!$F$20)^((Assumptions!$C$5-Assumptions!$C$4)/365)</f>
        <v>232.452118359096</v>
      </c>
      <c r="H239" s="40" t="n">
        <f aca="false">E239*G239</f>
        <v>13854.9642188951</v>
      </c>
      <c r="I239" s="48" t="n">
        <f aca="false">IF(F239&lt;365,Assumptions!$G$20,IF(F239&lt;=730,Assumptions!$H$20,Assumptions!$I$20))</f>
        <v>0</v>
      </c>
      <c r="J239" s="40" t="n">
        <f aca="false">H239*I239</f>
        <v>0</v>
      </c>
      <c r="K239" s="40" t="n">
        <f aca="false">H239-J239</f>
        <v>13854.9642188951</v>
      </c>
      <c r="L239" s="40" t="n">
        <f aca="false">K239-C239</f>
        <v>2854.9642188951</v>
      </c>
      <c r="M239" s="38" t="str">
        <f aca="false">IF(F239&gt;365,"LTCG","STCG")</f>
        <v>LTCG</v>
      </c>
      <c r="N239" s="48" t="n">
        <f aca="false">IF(M239="LTCG",Assumptions!$C$12,Assumptions!$C$11)</f>
        <v>0.125</v>
      </c>
      <c r="O239" s="38" t="str">
        <f aca="false">IF(M239="STCG",MAX(L239,0)*Assumptions!$C$11,"agg. below")</f>
        <v>agg. below</v>
      </c>
    </row>
    <row r="240" customFormat="false" ht="15" hidden="false" customHeight="false" outlineLevel="1" collapsed="false">
      <c r="A240" s="33" t="str">
        <f aca="false">TEXT(SIP_Fund1_PPFAS!B113,"mmm-yyyy")</f>
        <v>Jan-2034</v>
      </c>
      <c r="B240" s="34" t="n">
        <f aca="false">SIP_Fund1_PPFAS!B113</f>
        <v>48945</v>
      </c>
      <c r="C240" s="35" t="n">
        <f aca="false">SIP_Fund1_PPFAS!C113</f>
        <v>12000</v>
      </c>
      <c r="D240" s="36" t="n">
        <f aca="false">SIP_Fund1_PPFAS!H113</f>
        <v>186.26415813885</v>
      </c>
      <c r="E240" s="37" t="n">
        <f aca="false">SIP_Fund1_PPFAS!I113</f>
        <v>64.4246328435053</v>
      </c>
      <c r="F240" s="33" t="n">
        <f aca="false">Assumptions!$C$5-B240</f>
        <v>744</v>
      </c>
      <c r="G240" s="36" t="n">
        <f aca="false">Assumptions!$D$20*(1+Assumptions!$F$20)^((Assumptions!$C$5-Assumptions!$C$4)/365)</f>
        <v>232.452118359096</v>
      </c>
      <c r="H240" s="35" t="n">
        <f aca="false">E240*G240</f>
        <v>14975.6423789798</v>
      </c>
      <c r="I240" s="47" t="n">
        <f aca="false">IF(F240&lt;365,Assumptions!$G$20,IF(F240&lt;=730,Assumptions!$H$20,Assumptions!$I$20))</f>
        <v>0</v>
      </c>
      <c r="J240" s="35" t="n">
        <f aca="false">H240*I240</f>
        <v>0</v>
      </c>
      <c r="K240" s="35" t="n">
        <f aca="false">H240-J240</f>
        <v>14975.6423789798</v>
      </c>
      <c r="L240" s="35" t="n">
        <f aca="false">K240-C240</f>
        <v>2975.64237897979</v>
      </c>
      <c r="M240" s="33" t="str">
        <f aca="false">IF(F240&gt;365,"LTCG","STCG")</f>
        <v>LTCG</v>
      </c>
      <c r="N240" s="47" t="n">
        <f aca="false">IF(M240="LTCG",Assumptions!$C$12,Assumptions!$C$11)</f>
        <v>0.125</v>
      </c>
      <c r="O240" s="33" t="str">
        <f aca="false">IF(M240="STCG",MAX(L240,0)*Assumptions!$C$11,"agg. below")</f>
        <v>agg. below</v>
      </c>
    </row>
    <row r="241" customFormat="false" ht="15" hidden="false" customHeight="false" outlineLevel="1" collapsed="false">
      <c r="A241" s="38" t="str">
        <f aca="false">TEXT(SIP_Fund1_PPFAS!B114,"mmm-yyyy")</f>
        <v>Feb-2034</v>
      </c>
      <c r="B241" s="39" t="n">
        <f aca="false">SIP_Fund1_PPFAS!B114</f>
        <v>48976</v>
      </c>
      <c r="C241" s="40" t="n">
        <f aca="false">SIP_Fund1_PPFAS!C114</f>
        <v>12000</v>
      </c>
      <c r="D241" s="41" t="n">
        <f aca="false">SIP_Fund1_PPFAS!H114</f>
        <v>187.991322366999</v>
      </c>
      <c r="E241" s="42" t="n">
        <f aca="false">SIP_Fund1_PPFAS!I114</f>
        <v>63.8327336012533</v>
      </c>
      <c r="F241" s="38" t="n">
        <f aca="false">Assumptions!$C$5-B241</f>
        <v>713</v>
      </c>
      <c r="G241" s="41" t="n">
        <f aca="false">Assumptions!$D$20*(1+Assumptions!$F$20)^((Assumptions!$C$5-Assumptions!$C$4)/365)</f>
        <v>232.452118359096</v>
      </c>
      <c r="H241" s="40" t="n">
        <f aca="false">E241*G241</f>
        <v>14838.0541462632</v>
      </c>
      <c r="I241" s="48" t="n">
        <f aca="false">IF(F241&lt;365,Assumptions!$G$20,IF(F241&lt;=730,Assumptions!$H$20,Assumptions!$I$20))</f>
        <v>0.01</v>
      </c>
      <c r="J241" s="40" t="n">
        <f aca="false">H241*I241</f>
        <v>148.380541462632</v>
      </c>
      <c r="K241" s="40" t="n">
        <f aca="false">H241-J241</f>
        <v>14689.6736048005</v>
      </c>
      <c r="L241" s="40" t="n">
        <f aca="false">K241-C241</f>
        <v>2689.67360480053</v>
      </c>
      <c r="M241" s="38" t="str">
        <f aca="false">IF(F241&gt;365,"LTCG","STCG")</f>
        <v>LTCG</v>
      </c>
      <c r="N241" s="48" t="n">
        <f aca="false">IF(M241="LTCG",Assumptions!$C$12,Assumptions!$C$11)</f>
        <v>0.125</v>
      </c>
      <c r="O241" s="38" t="str">
        <f aca="false">IF(M241="STCG",MAX(L241,0)*Assumptions!$C$11,"agg. below")</f>
        <v>agg. below</v>
      </c>
    </row>
    <row r="242" customFormat="false" ht="15" hidden="false" customHeight="false" outlineLevel="1" collapsed="false">
      <c r="A242" s="33" t="str">
        <f aca="false">TEXT(SIP_Fund1_PPFAS!B115,"mmm-yyyy")</f>
        <v>Mar-2034</v>
      </c>
      <c r="B242" s="34" t="n">
        <f aca="false">SIP_Fund1_PPFAS!B115</f>
        <v>49004</v>
      </c>
      <c r="C242" s="35" t="n">
        <f aca="false">SIP_Fund1_PPFAS!C115</f>
        <v>12000</v>
      </c>
      <c r="D242" s="36" t="n">
        <f aca="false">SIP_Fund1_PPFAS!H115</f>
        <v>189.565103146551</v>
      </c>
      <c r="E242" s="37" t="n">
        <f aca="false">SIP_Fund1_PPFAS!I115</f>
        <v>63.3027904440985</v>
      </c>
      <c r="F242" s="33" t="n">
        <f aca="false">Assumptions!$C$5-B242</f>
        <v>685</v>
      </c>
      <c r="G242" s="36" t="n">
        <f aca="false">Assumptions!$D$20*(1+Assumptions!$F$20)^((Assumptions!$C$5-Assumptions!$C$4)/365)</f>
        <v>232.452118359096</v>
      </c>
      <c r="H242" s="35" t="n">
        <f aca="false">E242*G242</f>
        <v>14714.8677367726</v>
      </c>
      <c r="I242" s="47" t="n">
        <f aca="false">IF(F242&lt;365,Assumptions!$G$20,IF(F242&lt;=730,Assumptions!$H$20,Assumptions!$I$20))</f>
        <v>0.01</v>
      </c>
      <c r="J242" s="35" t="n">
        <f aca="false">H242*I242</f>
        <v>147.148677367726</v>
      </c>
      <c r="K242" s="35" t="n">
        <f aca="false">H242-J242</f>
        <v>14567.7190594049</v>
      </c>
      <c r="L242" s="35" t="n">
        <f aca="false">K242-C242</f>
        <v>2567.71905940489</v>
      </c>
      <c r="M242" s="33" t="str">
        <f aca="false">IF(F242&gt;365,"LTCG","STCG")</f>
        <v>LTCG</v>
      </c>
      <c r="N242" s="47" t="n">
        <f aca="false">IF(M242="LTCG",Assumptions!$C$12,Assumptions!$C$11)</f>
        <v>0.125</v>
      </c>
      <c r="O242" s="33" t="str">
        <f aca="false">IF(M242="STCG",MAX(L242,0)*Assumptions!$C$11,"agg. below")</f>
        <v>agg. below</v>
      </c>
    </row>
    <row r="243" customFormat="false" ht="15" hidden="false" customHeight="false" outlineLevel="1" collapsed="false">
      <c r="A243" s="38" t="str">
        <f aca="false">TEXT(SIP_Fund1_PPFAS!B116,"mmm-yyyy")</f>
        <v>Apr-2034</v>
      </c>
      <c r="B243" s="39" t="n">
        <f aca="false">SIP_Fund1_PPFAS!B116</f>
        <v>49035</v>
      </c>
      <c r="C243" s="40" t="n">
        <f aca="false">SIP_Fund1_PPFAS!C116</f>
        <v>12000</v>
      </c>
      <c r="D243" s="41" t="n">
        <f aca="false">SIP_Fund1_PPFAS!H116</f>
        <v>191.322875915782</v>
      </c>
      <c r="E243" s="42" t="n">
        <f aca="false">SIP_Fund1_PPFAS!I116</f>
        <v>62.7211980928108</v>
      </c>
      <c r="F243" s="38" t="n">
        <f aca="false">Assumptions!$C$5-B243</f>
        <v>654</v>
      </c>
      <c r="G243" s="41" t="n">
        <f aca="false">Assumptions!$D$20*(1+Assumptions!$F$20)^((Assumptions!$C$5-Assumptions!$C$4)/365)</f>
        <v>232.452118359096</v>
      </c>
      <c r="H243" s="40" t="n">
        <f aca="false">E243*G243</f>
        <v>14579.6753626943</v>
      </c>
      <c r="I243" s="48" t="n">
        <f aca="false">IF(F243&lt;365,Assumptions!$G$20,IF(F243&lt;=730,Assumptions!$H$20,Assumptions!$I$20))</f>
        <v>0.01</v>
      </c>
      <c r="J243" s="40" t="n">
        <f aca="false">H243*I243</f>
        <v>145.796753626943</v>
      </c>
      <c r="K243" s="40" t="n">
        <f aca="false">H243-J243</f>
        <v>14433.8786090674</v>
      </c>
      <c r="L243" s="40" t="n">
        <f aca="false">K243-C243</f>
        <v>2433.8786090674</v>
      </c>
      <c r="M243" s="38" t="str">
        <f aca="false">IF(F243&gt;365,"LTCG","STCG")</f>
        <v>LTCG</v>
      </c>
      <c r="N243" s="48" t="n">
        <f aca="false">IF(M243="LTCG",Assumptions!$C$12,Assumptions!$C$11)</f>
        <v>0.125</v>
      </c>
      <c r="O243" s="38" t="str">
        <f aca="false">IF(M243="STCG",MAX(L243,0)*Assumptions!$C$11,"agg. below")</f>
        <v>agg. below</v>
      </c>
    </row>
    <row r="244" customFormat="false" ht="15" hidden="false" customHeight="false" outlineLevel="1" collapsed="false">
      <c r="A244" s="33" t="str">
        <f aca="false">TEXT(SIP_Fund1_PPFAS!B117,"mmm-yyyy")</f>
        <v>May-2034</v>
      </c>
      <c r="B244" s="34" t="n">
        <f aca="false">SIP_Fund1_PPFAS!B117</f>
        <v>49065</v>
      </c>
      <c r="C244" s="35" t="n">
        <f aca="false">SIP_Fund1_PPFAS!C117</f>
        <v>12000</v>
      </c>
      <c r="D244" s="36" t="n">
        <f aca="false">SIP_Fund1_PPFAS!H117</f>
        <v>193.039463831353</v>
      </c>
      <c r="E244" s="37" t="n">
        <f aca="false">SIP_Fund1_PPFAS!I117</f>
        <v>62.1634548803124</v>
      </c>
      <c r="F244" s="33" t="n">
        <f aca="false">Assumptions!$C$5-B244</f>
        <v>624</v>
      </c>
      <c r="G244" s="36" t="n">
        <f aca="false">Assumptions!$D$20*(1+Assumptions!$F$20)^((Assumptions!$C$5-Assumptions!$C$4)/365)</f>
        <v>232.452118359096</v>
      </c>
      <c r="H244" s="35" t="n">
        <f aca="false">E244*G244</f>
        <v>14450.0267714487</v>
      </c>
      <c r="I244" s="47" t="n">
        <f aca="false">IF(F244&lt;365,Assumptions!$G$20,IF(F244&lt;=730,Assumptions!$H$20,Assumptions!$I$20))</f>
        <v>0.01</v>
      </c>
      <c r="J244" s="35" t="n">
        <f aca="false">H244*I244</f>
        <v>144.500267714487</v>
      </c>
      <c r="K244" s="35" t="n">
        <f aca="false">H244-J244</f>
        <v>14305.5265037342</v>
      </c>
      <c r="L244" s="35" t="n">
        <f aca="false">K244-C244</f>
        <v>2305.5265037342</v>
      </c>
      <c r="M244" s="33" t="str">
        <f aca="false">IF(F244&gt;365,"LTCG","STCG")</f>
        <v>LTCG</v>
      </c>
      <c r="N244" s="47" t="n">
        <f aca="false">IF(M244="LTCG",Assumptions!$C$12,Assumptions!$C$11)</f>
        <v>0.125</v>
      </c>
      <c r="O244" s="33" t="str">
        <f aca="false">IF(M244="STCG",MAX(L244,0)*Assumptions!$C$11,"agg. below")</f>
        <v>agg. below</v>
      </c>
    </row>
    <row r="245" customFormat="false" ht="15" hidden="false" customHeight="false" outlineLevel="1" collapsed="false">
      <c r="A245" s="38" t="str">
        <f aca="false">TEXT(SIP_Fund1_PPFAS!B118,"mmm-yyyy")</f>
        <v>Jun-2034</v>
      </c>
      <c r="B245" s="39" t="n">
        <f aca="false">SIP_Fund1_PPFAS!B118</f>
        <v>49096</v>
      </c>
      <c r="C245" s="40" t="n">
        <f aca="false">SIP_Fund1_PPFAS!C118</f>
        <v>12000</v>
      </c>
      <c r="D245" s="41" t="n">
        <f aca="false">SIP_Fund1_PPFAS!H118</f>
        <v>194.829453166296</v>
      </c>
      <c r="E245" s="42" t="n">
        <f aca="false">SIP_Fund1_PPFAS!I118</f>
        <v>61.5923301378742</v>
      </c>
      <c r="F245" s="38" t="n">
        <f aca="false">Assumptions!$C$5-B245</f>
        <v>593</v>
      </c>
      <c r="G245" s="41" t="n">
        <f aca="false">Assumptions!$D$20*(1+Assumptions!$F$20)^((Assumptions!$C$5-Assumptions!$C$4)/365)</f>
        <v>232.452118359096</v>
      </c>
      <c r="H245" s="40" t="n">
        <f aca="false">E245*G245</f>
        <v>14317.2676152216</v>
      </c>
      <c r="I245" s="48" t="n">
        <f aca="false">IF(F245&lt;365,Assumptions!$G$20,IF(F245&lt;=730,Assumptions!$H$20,Assumptions!$I$20))</f>
        <v>0.01</v>
      </c>
      <c r="J245" s="40" t="n">
        <f aca="false">H245*I245</f>
        <v>143.172676152216</v>
      </c>
      <c r="K245" s="40" t="n">
        <f aca="false">H245-J245</f>
        <v>14174.0949390694</v>
      </c>
      <c r="L245" s="40" t="n">
        <f aca="false">K245-C245</f>
        <v>2174.09493906941</v>
      </c>
      <c r="M245" s="38" t="str">
        <f aca="false">IF(F245&gt;365,"LTCG","STCG")</f>
        <v>LTCG</v>
      </c>
      <c r="N245" s="48" t="n">
        <f aca="false">IF(M245="LTCG",Assumptions!$C$12,Assumptions!$C$11)</f>
        <v>0.125</v>
      </c>
      <c r="O245" s="38" t="str">
        <f aca="false">IF(M245="STCG",MAX(L245,0)*Assumptions!$C$11,"agg. below")</f>
        <v>agg. below</v>
      </c>
    </row>
    <row r="246" customFormat="false" ht="15" hidden="false" customHeight="false" outlineLevel="1" collapsed="false">
      <c r="A246" s="33" t="str">
        <f aca="false">TEXT(SIP_Fund1_PPFAS!B119,"mmm-yyyy")</f>
        <v>Jul-2034</v>
      </c>
      <c r="B246" s="34" t="n">
        <f aca="false">SIP_Fund1_PPFAS!B119</f>
        <v>49126</v>
      </c>
      <c r="C246" s="35" t="n">
        <f aca="false">SIP_Fund1_PPFAS!C119</f>
        <v>12000</v>
      </c>
      <c r="D246" s="36" t="n">
        <f aca="false">SIP_Fund1_PPFAS!H119</f>
        <v>196.577502809089</v>
      </c>
      <c r="E246" s="37" t="n">
        <f aca="false">SIP_Fund1_PPFAS!I119</f>
        <v>61.0446252929264</v>
      </c>
      <c r="F246" s="33" t="n">
        <f aca="false">Assumptions!$C$5-B246</f>
        <v>563</v>
      </c>
      <c r="G246" s="36" t="n">
        <f aca="false">Assumptions!$D$20*(1+Assumptions!$F$20)^((Assumptions!$C$5-Assumptions!$C$4)/365)</f>
        <v>232.452118359096</v>
      </c>
      <c r="H246" s="35" t="n">
        <f aca="false">E246*G246</f>
        <v>14189.952463778</v>
      </c>
      <c r="I246" s="47" t="n">
        <f aca="false">IF(F246&lt;365,Assumptions!$G$20,IF(F246&lt;=730,Assumptions!$H$20,Assumptions!$I$20))</f>
        <v>0.01</v>
      </c>
      <c r="J246" s="35" t="n">
        <f aca="false">H246*I246</f>
        <v>141.89952463778</v>
      </c>
      <c r="K246" s="35" t="n">
        <f aca="false">H246-J246</f>
        <v>14048.0529391402</v>
      </c>
      <c r="L246" s="35" t="n">
        <f aca="false">K246-C246</f>
        <v>2048.0529391402</v>
      </c>
      <c r="M246" s="33" t="str">
        <f aca="false">IF(F246&gt;365,"LTCG","STCG")</f>
        <v>LTCG</v>
      </c>
      <c r="N246" s="47" t="n">
        <f aca="false">IF(M246="LTCG",Assumptions!$C$12,Assumptions!$C$11)</f>
        <v>0.125</v>
      </c>
      <c r="O246" s="33" t="str">
        <f aca="false">IF(M246="STCG",MAX(L246,0)*Assumptions!$C$11,"agg. below")</f>
        <v>agg. below</v>
      </c>
    </row>
    <row r="247" customFormat="false" ht="15" hidden="false" customHeight="false" outlineLevel="1" collapsed="false">
      <c r="A247" s="38" t="str">
        <f aca="false">TEXT(SIP_Fund1_PPFAS!B120,"mmm-yyyy")</f>
        <v>Aug-2034</v>
      </c>
      <c r="B247" s="39" t="n">
        <f aca="false">SIP_Fund1_PPFAS!B120</f>
        <v>49157</v>
      </c>
      <c r="C247" s="40" t="n">
        <f aca="false">SIP_Fund1_PPFAS!C120</f>
        <v>12000</v>
      </c>
      <c r="D247" s="41" t="n">
        <f aca="false">SIP_Fund1_PPFAS!H120</f>
        <v>198.40029917691</v>
      </c>
      <c r="E247" s="42" t="n">
        <f aca="false">SIP_Fund1_PPFAS!I120</f>
        <v>60.483779761339</v>
      </c>
      <c r="F247" s="38" t="n">
        <f aca="false">Assumptions!$C$5-B247</f>
        <v>532</v>
      </c>
      <c r="G247" s="41" t="n">
        <f aca="false">Assumptions!$D$20*(1+Assumptions!$F$20)^((Assumptions!$C$5-Assumptions!$C$4)/365)</f>
        <v>232.452118359096</v>
      </c>
      <c r="H247" s="40" t="n">
        <f aca="false">E247*G247</f>
        <v>14059.5827318882</v>
      </c>
      <c r="I247" s="48" t="n">
        <f aca="false">IF(F247&lt;365,Assumptions!$G$20,IF(F247&lt;=730,Assumptions!$H$20,Assumptions!$I$20))</f>
        <v>0.01</v>
      </c>
      <c r="J247" s="40" t="n">
        <f aca="false">H247*I247</f>
        <v>140.595827318882</v>
      </c>
      <c r="K247" s="40" t="n">
        <f aca="false">H247-J247</f>
        <v>13918.9869045694</v>
      </c>
      <c r="L247" s="40" t="n">
        <f aca="false">K247-C247</f>
        <v>1918.98690456936</v>
      </c>
      <c r="M247" s="38" t="str">
        <f aca="false">IF(F247&gt;365,"LTCG","STCG")</f>
        <v>LTCG</v>
      </c>
      <c r="N247" s="48" t="n">
        <f aca="false">IF(M247="LTCG",Assumptions!$C$12,Assumptions!$C$11)</f>
        <v>0.125</v>
      </c>
      <c r="O247" s="38" t="str">
        <f aca="false">IF(M247="STCG",MAX(L247,0)*Assumptions!$C$11,"agg. below")</f>
        <v>agg. below</v>
      </c>
    </row>
    <row r="248" customFormat="false" ht="15" hidden="false" customHeight="false" outlineLevel="1" collapsed="false">
      <c r="A248" s="33" t="str">
        <f aca="false">TEXT(SIP_Fund1_PPFAS!B121,"mmm-yyyy")</f>
        <v>Sep-2034</v>
      </c>
      <c r="B248" s="34" t="n">
        <f aca="false">SIP_Fund1_PPFAS!B121</f>
        <v>49188</v>
      </c>
      <c r="C248" s="35" t="n">
        <f aca="false">SIP_Fund1_PPFAS!C121</f>
        <v>12000</v>
      </c>
      <c r="D248" s="36" t="n">
        <f aca="false">SIP_Fund1_PPFAS!H121</f>
        <v>200.239997715891</v>
      </c>
      <c r="E248" s="37" t="n">
        <f aca="false">SIP_Fund1_PPFAS!I121</f>
        <v>59.9280869800353</v>
      </c>
      <c r="F248" s="33" t="n">
        <f aca="false">Assumptions!$C$5-B248</f>
        <v>501</v>
      </c>
      <c r="G248" s="36" t="n">
        <f aca="false">Assumptions!$D$20*(1+Assumptions!$F$20)^((Assumptions!$C$5-Assumptions!$C$4)/365)</f>
        <v>232.452118359096</v>
      </c>
      <c r="H248" s="35" t="n">
        <f aca="false">E248*G248</f>
        <v>13930.4107677174</v>
      </c>
      <c r="I248" s="47" t="n">
        <f aca="false">IF(F248&lt;365,Assumptions!$G$20,IF(F248&lt;=730,Assumptions!$H$20,Assumptions!$I$20))</f>
        <v>0.01</v>
      </c>
      <c r="J248" s="35" t="n">
        <f aca="false">H248*I248</f>
        <v>139.304107677174</v>
      </c>
      <c r="K248" s="35" t="n">
        <f aca="false">H248-J248</f>
        <v>13791.1066600402</v>
      </c>
      <c r="L248" s="35" t="n">
        <f aca="false">K248-C248</f>
        <v>1791.10666004018</v>
      </c>
      <c r="M248" s="33" t="str">
        <f aca="false">IF(F248&gt;365,"LTCG","STCG")</f>
        <v>LTCG</v>
      </c>
      <c r="N248" s="47" t="n">
        <f aca="false">IF(M248="LTCG",Assumptions!$C$12,Assumptions!$C$11)</f>
        <v>0.125</v>
      </c>
      <c r="O248" s="33" t="str">
        <f aca="false">IF(M248="STCG",MAX(L248,0)*Assumptions!$C$11,"agg. below")</f>
        <v>agg. below</v>
      </c>
    </row>
    <row r="249" customFormat="false" ht="15" hidden="false" customHeight="false" outlineLevel="1" collapsed="false">
      <c r="A249" s="38" t="str">
        <f aca="false">TEXT(SIP_Fund1_PPFAS!B122,"mmm-yyyy")</f>
        <v>Oct-2034</v>
      </c>
      <c r="B249" s="39" t="n">
        <f aca="false">SIP_Fund1_PPFAS!B122</f>
        <v>49218</v>
      </c>
      <c r="C249" s="40" t="n">
        <f aca="false">SIP_Fund1_PPFAS!C122</f>
        <v>12000</v>
      </c>
      <c r="D249" s="41" t="n">
        <f aca="false">SIP_Fund1_PPFAS!H122</f>
        <v>202.036591869349</v>
      </c>
      <c r="E249" s="42" t="n">
        <f aca="false">SIP_Fund1_PPFAS!I122</f>
        <v>59.3951812835965</v>
      </c>
      <c r="F249" s="38" t="n">
        <f aca="false">Assumptions!$C$5-B249</f>
        <v>471</v>
      </c>
      <c r="G249" s="41" t="n">
        <f aca="false">Assumptions!$D$20*(1+Assumptions!$F$20)^((Assumptions!$C$5-Assumptions!$C$4)/365)</f>
        <v>232.452118359096</v>
      </c>
      <c r="H249" s="40" t="n">
        <f aca="false">E249*G249</f>
        <v>13806.5357096945</v>
      </c>
      <c r="I249" s="48" t="n">
        <f aca="false">IF(F249&lt;365,Assumptions!$G$20,IF(F249&lt;=730,Assumptions!$H$20,Assumptions!$I$20))</f>
        <v>0.01</v>
      </c>
      <c r="J249" s="40" t="n">
        <f aca="false">H249*I249</f>
        <v>138.065357096945</v>
      </c>
      <c r="K249" s="40" t="n">
        <f aca="false">H249-J249</f>
        <v>13668.4703525976</v>
      </c>
      <c r="L249" s="40" t="n">
        <f aca="false">K249-C249</f>
        <v>1668.47035259757</v>
      </c>
      <c r="M249" s="38" t="str">
        <f aca="false">IF(F249&gt;365,"LTCG","STCG")</f>
        <v>LTCG</v>
      </c>
      <c r="N249" s="48" t="n">
        <f aca="false">IF(M249="LTCG",Assumptions!$C$12,Assumptions!$C$11)</f>
        <v>0.125</v>
      </c>
      <c r="O249" s="38" t="str">
        <f aca="false">IF(M249="STCG",MAX(L249,0)*Assumptions!$C$11,"agg. below")</f>
        <v>agg. below</v>
      </c>
    </row>
    <row r="250" customFormat="false" ht="15" hidden="false" customHeight="false" outlineLevel="1" collapsed="false">
      <c r="A250" s="33" t="str">
        <f aca="false">TEXT(SIP_Fund1_PPFAS!B123,"mmm-yyyy")</f>
        <v>Nov-2034</v>
      </c>
      <c r="B250" s="34" t="n">
        <f aca="false">SIP_Fund1_PPFAS!B123</f>
        <v>49249</v>
      </c>
      <c r="C250" s="35" t="n">
        <f aca="false">SIP_Fund1_PPFAS!C123</f>
        <v>12000</v>
      </c>
      <c r="D250" s="36" t="n">
        <f aca="false">SIP_Fund1_PPFAS!H123</f>
        <v>203.910008514509</v>
      </c>
      <c r="E250" s="37" t="n">
        <f aca="false">SIP_Fund1_PPFAS!I123</f>
        <v>58.849489965796</v>
      </c>
      <c r="F250" s="33" t="n">
        <f aca="false">Assumptions!$C$5-B250</f>
        <v>440</v>
      </c>
      <c r="G250" s="36" t="n">
        <f aca="false">Assumptions!$D$20*(1+Assumptions!$F$20)^((Assumptions!$C$5-Assumptions!$C$4)/365)</f>
        <v>232.452118359096</v>
      </c>
      <c r="H250" s="35" t="n">
        <f aca="false">E250*G250</f>
        <v>13679.6886069016</v>
      </c>
      <c r="I250" s="47" t="n">
        <f aca="false">IF(F250&lt;365,Assumptions!$G$20,IF(F250&lt;=730,Assumptions!$H$20,Assumptions!$I$20))</f>
        <v>0.01</v>
      </c>
      <c r="J250" s="35" t="n">
        <f aca="false">H250*I250</f>
        <v>136.796886069016</v>
      </c>
      <c r="K250" s="35" t="n">
        <f aca="false">H250-J250</f>
        <v>13542.8917208326</v>
      </c>
      <c r="L250" s="35" t="n">
        <f aca="false">K250-C250</f>
        <v>1542.89172083262</v>
      </c>
      <c r="M250" s="33" t="str">
        <f aca="false">IF(F250&gt;365,"LTCG","STCG")</f>
        <v>LTCG</v>
      </c>
      <c r="N250" s="47" t="n">
        <f aca="false">IF(M250="LTCG",Assumptions!$C$12,Assumptions!$C$11)</f>
        <v>0.125</v>
      </c>
      <c r="O250" s="33" t="str">
        <f aca="false">IF(M250="STCG",MAX(L250,0)*Assumptions!$C$11,"agg. below")</f>
        <v>agg. below</v>
      </c>
    </row>
    <row r="251" customFormat="false" ht="15" hidden="false" customHeight="false" outlineLevel="1" collapsed="false">
      <c r="A251" s="38" t="str">
        <f aca="false">TEXT(SIP_Fund1_PPFAS!B124,"mmm-yyyy")</f>
        <v>Dec-2034</v>
      </c>
      <c r="B251" s="39" t="n">
        <f aca="false">SIP_Fund1_PPFAS!B124</f>
        <v>49279</v>
      </c>
      <c r="C251" s="40" t="n">
        <f aca="false">SIP_Fund1_PPFAS!C124</f>
        <v>12000</v>
      </c>
      <c r="D251" s="41" t="n">
        <f aca="false">SIP_Fund1_PPFAS!H124</f>
        <v>205.73953075436</v>
      </c>
      <c r="E251" s="42" t="n">
        <f aca="false">SIP_Fund1_PPFAS!I124</f>
        <v>58.3261756066085</v>
      </c>
      <c r="F251" s="38" t="n">
        <f aca="false">Assumptions!$C$5-B251</f>
        <v>410</v>
      </c>
      <c r="G251" s="41" t="n">
        <f aca="false">Assumptions!$D$20*(1+Assumptions!$F$20)^((Assumptions!$C$5-Assumptions!$C$4)/365)</f>
        <v>232.452118359096</v>
      </c>
      <c r="H251" s="40" t="n">
        <f aca="false">E251*G251</f>
        <v>13558.0430755408</v>
      </c>
      <c r="I251" s="48" t="n">
        <f aca="false">IF(F251&lt;365,Assumptions!$G$20,IF(F251&lt;=730,Assumptions!$H$20,Assumptions!$I$20))</f>
        <v>0.01</v>
      </c>
      <c r="J251" s="40" t="n">
        <f aca="false">H251*I251</f>
        <v>135.580430755408</v>
      </c>
      <c r="K251" s="40" t="n">
        <f aca="false">H251-J251</f>
        <v>13422.4626447853</v>
      </c>
      <c r="L251" s="40" t="n">
        <f aca="false">K251-C251</f>
        <v>1422.46264478535</v>
      </c>
      <c r="M251" s="38" t="str">
        <f aca="false">IF(F251&gt;365,"LTCG","STCG")</f>
        <v>LTCG</v>
      </c>
      <c r="N251" s="48" t="n">
        <f aca="false">IF(M251="LTCG",Assumptions!$C$12,Assumptions!$C$11)</f>
        <v>0.125</v>
      </c>
      <c r="O251" s="38" t="str">
        <f aca="false">IF(M251="STCG",MAX(L251,0)*Assumptions!$C$11,"agg. below")</f>
        <v>agg. below</v>
      </c>
    </row>
    <row r="252" customFormat="false" ht="15" hidden="false" customHeight="false" outlineLevel="0" collapsed="false">
      <c r="A252" s="49" t="s">
        <v>147</v>
      </c>
      <c r="B252" s="49"/>
      <c r="C252" s="44" t="n">
        <f aca="false">SUM(C132:C251)</f>
        <v>900000</v>
      </c>
      <c r="D252" s="49"/>
      <c r="E252" s="49"/>
      <c r="F252" s="49"/>
      <c r="G252" s="49"/>
      <c r="H252" s="44" t="n">
        <f aca="false">SUM(H132:H251)</f>
        <v>1615989.24813824</v>
      </c>
      <c r="I252" s="49"/>
      <c r="J252" s="44" t="n">
        <f aca="false">SUM(J132:J251)</f>
        <v>1561.24104987921</v>
      </c>
      <c r="K252" s="44" t="n">
        <f aca="false">SUM(K132:K251)</f>
        <v>1614428.00708836</v>
      </c>
      <c r="L252" s="44" t="n">
        <f aca="false">SUM(L132:L251)</f>
        <v>714428.007088359</v>
      </c>
      <c r="M252" s="49"/>
      <c r="N252" s="49"/>
      <c r="O252" s="44" t="n">
        <f aca="false">SUMIF(M132:M251,"STCG",O132:O251)+MAX(0,SUMIF(M132:M251,"LTCG",L132:L251)-Assumptions!$C$13)*Assumptions!$C$12</f>
        <v>73678.5008860449</v>
      </c>
    </row>
    <row r="253" customFormat="false" ht="15" hidden="false" customHeight="false" outlineLevel="0" collapsed="false">
      <c r="A253" s="50" t="s">
        <v>148</v>
      </c>
      <c r="B253" s="50"/>
      <c r="C253" s="50"/>
      <c r="D253" s="50"/>
      <c r="E253" s="50"/>
      <c r="F253" s="50"/>
      <c r="G253" s="50"/>
      <c r="H253" s="50"/>
      <c r="I253" s="50"/>
      <c r="J253" s="50"/>
      <c r="K253" s="50"/>
      <c r="L253" s="50"/>
      <c r="M253" s="50"/>
      <c r="N253" s="50"/>
      <c r="O253" s="51" t="n">
        <f aca="false">K252-O252</f>
        <v>1540749.50620231</v>
      </c>
    </row>
    <row r="255" customFormat="false" ht="15" hidden="false" customHeight="false" outlineLevel="0" collapsed="false">
      <c r="A255" s="52" t="s">
        <v>150</v>
      </c>
      <c r="O255" s="53" t="n">
        <f aca="false">O128-O253</f>
        <v>38787.1345560665</v>
      </c>
    </row>
    <row r="258" customFormat="false" ht="16.15" hidden="false" customHeight="false" outlineLevel="0" collapsed="false">
      <c r="A258" s="45" t="s">
        <v>64</v>
      </c>
      <c r="B258" s="45"/>
      <c r="C258" s="45"/>
      <c r="D258" s="45"/>
      <c r="E258" s="45"/>
      <c r="F258" s="45"/>
      <c r="G258" s="45"/>
      <c r="H258" s="45"/>
      <c r="I258" s="45"/>
      <c r="J258" s="45"/>
      <c r="K258" s="45"/>
      <c r="L258" s="45"/>
      <c r="M258" s="45"/>
      <c r="N258" s="45"/>
      <c r="O258" s="45"/>
    </row>
    <row r="259" customFormat="false" ht="15" hidden="false" customHeight="false" outlineLevel="0" collapsed="false">
      <c r="A259" s="5" t="s">
        <v>131</v>
      </c>
    </row>
    <row r="260" customFormat="false" ht="25.5" hidden="false" customHeight="true" outlineLevel="0" collapsed="false">
      <c r="A260" s="46" t="s">
        <v>132</v>
      </c>
      <c r="B260" s="46" t="s">
        <v>133</v>
      </c>
      <c r="C260" s="46" t="s">
        <v>134</v>
      </c>
      <c r="D260" s="46" t="s">
        <v>135</v>
      </c>
      <c r="E260" s="46" t="s">
        <v>136</v>
      </c>
      <c r="F260" s="46" t="s">
        <v>137</v>
      </c>
      <c r="G260" s="46" t="s">
        <v>138</v>
      </c>
      <c r="H260" s="46" t="s">
        <v>139</v>
      </c>
      <c r="I260" s="46" t="s">
        <v>140</v>
      </c>
      <c r="J260" s="46" t="s">
        <v>141</v>
      </c>
      <c r="K260" s="46" t="s">
        <v>142</v>
      </c>
      <c r="L260" s="46" t="s">
        <v>143</v>
      </c>
      <c r="M260" s="46" t="s">
        <v>144</v>
      </c>
      <c r="N260" s="46" t="s">
        <v>145</v>
      </c>
      <c r="O260" s="46" t="s">
        <v>146</v>
      </c>
    </row>
    <row r="261" customFormat="false" ht="15" hidden="false" customHeight="false" outlineLevel="1" collapsed="false">
      <c r="A261" s="33" t="str">
        <f aca="false">TEXT(SIP_Fund2_HDFCMidcap!B5,"mmm-yyyy")</f>
        <v>Jan-2025</v>
      </c>
      <c r="B261" s="34" t="n">
        <f aca="false">SIP_Fund2_HDFCMidcap!B5</f>
        <v>45658</v>
      </c>
      <c r="C261" s="35" t="n">
        <f aca="false">SIP_Fund2_HDFCMidcap!C5</f>
        <v>3000</v>
      </c>
      <c r="D261" s="36" t="n">
        <f aca="false">SIP_Fund2_HDFCMidcap!D5</f>
        <v>190</v>
      </c>
      <c r="E261" s="37" t="n">
        <f aca="false">SIP_Fund2_HDFCMidcap!E5</f>
        <v>15.7894736842105</v>
      </c>
      <c r="F261" s="33" t="n">
        <f aca="false">Assumptions!$C$5-B261</f>
        <v>4031</v>
      </c>
      <c r="G261" s="36" t="n">
        <f aca="false">Assumptions!$D$21*(1+Assumptions!$F$21)^((Assumptions!$C$5-Assumptions!$C$4)/365)</f>
        <v>807.609511036577</v>
      </c>
      <c r="H261" s="35" t="n">
        <f aca="false">E261*G261</f>
        <v>12751.7291216302</v>
      </c>
      <c r="I261" s="47" t="n">
        <f aca="false">IF(F261&lt;365,Assumptions!$G$21,IF(F261&lt;=730,Assumptions!$H$21,Assumptions!$I$21))</f>
        <v>0</v>
      </c>
      <c r="J261" s="35" t="n">
        <f aca="false">H261*I261</f>
        <v>0</v>
      </c>
      <c r="K261" s="35" t="n">
        <f aca="false">H261-J261</f>
        <v>12751.7291216302</v>
      </c>
      <c r="L261" s="35" t="n">
        <f aca="false">K261-C261</f>
        <v>9751.72912163017</v>
      </c>
      <c r="M261" s="33" t="str">
        <f aca="false">IF(F261&gt;365,"LTCG","STCG")</f>
        <v>LTCG</v>
      </c>
      <c r="N261" s="47" t="n">
        <f aca="false">IF(M261="LTCG",Assumptions!$C$12,Assumptions!$C$11)</f>
        <v>0.125</v>
      </c>
      <c r="O261" s="33" t="str">
        <f aca="false">IF(M261="STCG",MAX(L261,0)*Assumptions!$C$11,"agg. below")</f>
        <v>agg. below</v>
      </c>
    </row>
    <row r="262" customFormat="false" ht="15" hidden="false" customHeight="false" outlineLevel="1" collapsed="false">
      <c r="A262" s="38" t="str">
        <f aca="false">TEXT(SIP_Fund2_HDFCMidcap!B6,"mmm-yyyy")</f>
        <v>Feb-2025</v>
      </c>
      <c r="B262" s="39" t="n">
        <f aca="false">SIP_Fund2_HDFCMidcap!B6</f>
        <v>45689</v>
      </c>
      <c r="C262" s="40" t="n">
        <f aca="false">SIP_Fund2_HDFCMidcap!C6</f>
        <v>3000</v>
      </c>
      <c r="D262" s="41" t="n">
        <f aca="false">SIP_Fund2_HDFCMidcap!D6</f>
        <v>192.126210020077</v>
      </c>
      <c r="E262" s="42" t="n">
        <f aca="false">SIP_Fund2_HDFCMidcap!E6</f>
        <v>15.6147357494144</v>
      </c>
      <c r="F262" s="38" t="n">
        <f aca="false">Assumptions!$C$5-B262</f>
        <v>4000</v>
      </c>
      <c r="G262" s="41" t="n">
        <f aca="false">Assumptions!$D$21*(1+Assumptions!$F$21)^((Assumptions!$C$5-Assumptions!$C$4)/365)</f>
        <v>807.609511036577</v>
      </c>
      <c r="H262" s="40" t="n">
        <f aca="false">E262*G262</f>
        <v>12610.60910355</v>
      </c>
      <c r="I262" s="48" t="n">
        <f aca="false">IF(F262&lt;365,Assumptions!$G$21,IF(F262&lt;=730,Assumptions!$H$21,Assumptions!$I$21))</f>
        <v>0</v>
      </c>
      <c r="J262" s="40" t="n">
        <f aca="false">H262*I262</f>
        <v>0</v>
      </c>
      <c r="K262" s="40" t="n">
        <f aca="false">H262-J262</f>
        <v>12610.60910355</v>
      </c>
      <c r="L262" s="40" t="n">
        <f aca="false">K262-C262</f>
        <v>9610.60910354996</v>
      </c>
      <c r="M262" s="38" t="str">
        <f aca="false">IF(F262&gt;365,"LTCG","STCG")</f>
        <v>LTCG</v>
      </c>
      <c r="N262" s="48" t="n">
        <f aca="false">IF(M262="LTCG",Assumptions!$C$12,Assumptions!$C$11)</f>
        <v>0.125</v>
      </c>
      <c r="O262" s="38" t="str">
        <f aca="false">IF(M262="STCG",MAX(L262,0)*Assumptions!$C$11,"agg. below")</f>
        <v>agg. below</v>
      </c>
    </row>
    <row r="263" customFormat="false" ht="15" hidden="false" customHeight="false" outlineLevel="1" collapsed="false">
      <c r="A263" s="33" t="str">
        <f aca="false">TEXT(SIP_Fund2_HDFCMidcap!B7,"mmm-yyyy")</f>
        <v>Mar-2025</v>
      </c>
      <c r="B263" s="34" t="n">
        <f aca="false">SIP_Fund2_HDFCMidcap!B7</f>
        <v>45717</v>
      </c>
      <c r="C263" s="35" t="n">
        <f aca="false">SIP_Fund2_HDFCMidcap!C7</f>
        <v>3000</v>
      </c>
      <c r="D263" s="36" t="n">
        <f aca="false">SIP_Fund2_HDFCMidcap!D7</f>
        <v>194.067101459276</v>
      </c>
      <c r="E263" s="37" t="n">
        <f aca="false">SIP_Fund2_HDFCMidcap!E7</f>
        <v>15.4585706564465</v>
      </c>
      <c r="F263" s="33" t="n">
        <f aca="false">Assumptions!$C$5-B263</f>
        <v>3972</v>
      </c>
      <c r="G263" s="36" t="n">
        <f aca="false">Assumptions!$D$21*(1+Assumptions!$F$21)^((Assumptions!$C$5-Assumptions!$C$4)/365)</f>
        <v>807.609511036577</v>
      </c>
      <c r="H263" s="35" t="n">
        <f aca="false">E263*G263</f>
        <v>12484.4886891772</v>
      </c>
      <c r="I263" s="47" t="n">
        <f aca="false">IF(F263&lt;365,Assumptions!$G$21,IF(F263&lt;=730,Assumptions!$H$21,Assumptions!$I$21))</f>
        <v>0</v>
      </c>
      <c r="J263" s="35" t="n">
        <f aca="false">H263*I263</f>
        <v>0</v>
      </c>
      <c r="K263" s="35" t="n">
        <f aca="false">H263-J263</f>
        <v>12484.4886891772</v>
      </c>
      <c r="L263" s="35" t="n">
        <f aca="false">K263-C263</f>
        <v>9484.48868917717</v>
      </c>
      <c r="M263" s="33" t="str">
        <f aca="false">IF(F263&gt;365,"LTCG","STCG")</f>
        <v>LTCG</v>
      </c>
      <c r="N263" s="47" t="n">
        <f aca="false">IF(M263="LTCG",Assumptions!$C$12,Assumptions!$C$11)</f>
        <v>0.125</v>
      </c>
      <c r="O263" s="33" t="str">
        <f aca="false">IF(M263="STCG",MAX(L263,0)*Assumptions!$C$11,"agg. below")</f>
        <v>agg. below</v>
      </c>
    </row>
    <row r="264" customFormat="false" ht="15" hidden="false" customHeight="false" outlineLevel="1" collapsed="false">
      <c r="A264" s="38" t="str">
        <f aca="false">TEXT(SIP_Fund2_HDFCMidcap!B8,"mmm-yyyy")</f>
        <v>Apr-2025</v>
      </c>
      <c r="B264" s="39" t="n">
        <f aca="false">SIP_Fund2_HDFCMidcap!B8</f>
        <v>45748</v>
      </c>
      <c r="C264" s="40" t="n">
        <f aca="false">SIP_Fund2_HDFCMidcap!C8</f>
        <v>3000</v>
      </c>
      <c r="D264" s="41" t="n">
        <f aca="false">SIP_Fund2_HDFCMidcap!D8</f>
        <v>196.23882469975</v>
      </c>
      <c r="E264" s="42" t="n">
        <f aca="false">SIP_Fund2_HDFCMidcap!E8</f>
        <v>15.2874947380574</v>
      </c>
      <c r="F264" s="38" t="n">
        <f aca="false">Assumptions!$C$5-B264</f>
        <v>3941</v>
      </c>
      <c r="G264" s="41" t="n">
        <f aca="false">Assumptions!$D$21*(1+Assumptions!$F$21)^((Assumptions!$C$5-Assumptions!$C$4)/365)</f>
        <v>807.609511036577</v>
      </c>
      <c r="H264" s="40" t="n">
        <f aca="false">E264*G264</f>
        <v>12346.3261503768</v>
      </c>
      <c r="I264" s="48" t="n">
        <f aca="false">IF(F264&lt;365,Assumptions!$G$21,IF(F264&lt;=730,Assumptions!$H$21,Assumptions!$I$21))</f>
        <v>0</v>
      </c>
      <c r="J264" s="40" t="n">
        <f aca="false">H264*I264</f>
        <v>0</v>
      </c>
      <c r="K264" s="40" t="n">
        <f aca="false">H264-J264</f>
        <v>12346.3261503768</v>
      </c>
      <c r="L264" s="40" t="n">
        <f aca="false">K264-C264</f>
        <v>9346.32615037682</v>
      </c>
      <c r="M264" s="38" t="str">
        <f aca="false">IF(F264&gt;365,"LTCG","STCG")</f>
        <v>LTCG</v>
      </c>
      <c r="N264" s="48" t="n">
        <f aca="false">IF(M264="LTCG",Assumptions!$C$12,Assumptions!$C$11)</f>
        <v>0.125</v>
      </c>
      <c r="O264" s="38" t="str">
        <f aca="false">IF(M264="STCG",MAX(L264,0)*Assumptions!$C$11,"agg. below")</f>
        <v>agg. below</v>
      </c>
    </row>
    <row r="265" customFormat="false" ht="15" hidden="false" customHeight="false" outlineLevel="1" collapsed="false">
      <c r="A265" s="33" t="str">
        <f aca="false">TEXT(SIP_Fund2_HDFCMidcap!B9,"mmm-yyyy")</f>
        <v>May-2025</v>
      </c>
      <c r="B265" s="34" t="n">
        <f aca="false">SIP_Fund2_HDFCMidcap!B9</f>
        <v>45778</v>
      </c>
      <c r="C265" s="35" t="n">
        <f aca="false">SIP_Fund2_HDFCMidcap!C9</f>
        <v>3000</v>
      </c>
      <c r="D265" s="36" t="n">
        <f aca="false">SIP_Fund2_HDFCMidcap!D9</f>
        <v>198.363629116734</v>
      </c>
      <c r="E265" s="37" t="n">
        <f aca="false">SIP_Fund2_HDFCMidcap!E9</f>
        <v>15.1237402408813</v>
      </c>
      <c r="F265" s="33" t="n">
        <f aca="false">Assumptions!$C$5-B265</f>
        <v>3911</v>
      </c>
      <c r="G265" s="36" t="n">
        <f aca="false">Assumptions!$D$21*(1+Assumptions!$F$21)^((Assumptions!$C$5-Assumptions!$C$4)/365)</f>
        <v>807.609511036577</v>
      </c>
      <c r="H265" s="35" t="n">
        <f aca="false">E265*G265</f>
        <v>12214.0764609824</v>
      </c>
      <c r="I265" s="47" t="n">
        <f aca="false">IF(F265&lt;365,Assumptions!$G$21,IF(F265&lt;=730,Assumptions!$H$21,Assumptions!$I$21))</f>
        <v>0</v>
      </c>
      <c r="J265" s="35" t="n">
        <f aca="false">H265*I265</f>
        <v>0</v>
      </c>
      <c r="K265" s="35" t="n">
        <f aca="false">H265-J265</f>
        <v>12214.0764609824</v>
      </c>
      <c r="L265" s="35" t="n">
        <f aca="false">K265-C265</f>
        <v>9214.07646098236</v>
      </c>
      <c r="M265" s="33" t="str">
        <f aca="false">IF(F265&gt;365,"LTCG","STCG")</f>
        <v>LTCG</v>
      </c>
      <c r="N265" s="47" t="n">
        <f aca="false">IF(M265="LTCG",Assumptions!$C$12,Assumptions!$C$11)</f>
        <v>0.125</v>
      </c>
      <c r="O265" s="33" t="str">
        <f aca="false">IF(M265="STCG",MAX(L265,0)*Assumptions!$C$11,"agg. below")</f>
        <v>agg. below</v>
      </c>
    </row>
    <row r="266" customFormat="false" ht="15" hidden="false" customHeight="false" outlineLevel="1" collapsed="false">
      <c r="A266" s="38" t="str">
        <f aca="false">TEXT(SIP_Fund2_HDFCMidcap!B10,"mmm-yyyy")</f>
        <v>Jun-2025</v>
      </c>
      <c r="B266" s="39" t="n">
        <f aca="false">SIP_Fund2_HDFCMidcap!B10</f>
        <v>45809</v>
      </c>
      <c r="C266" s="40" t="n">
        <f aca="false">SIP_Fund2_HDFCMidcap!C10</f>
        <v>3000</v>
      </c>
      <c r="D266" s="41" t="n">
        <f aca="false">SIP_Fund2_HDFCMidcap!D10</f>
        <v>200.583432989612</v>
      </c>
      <c r="E266" s="42" t="n">
        <f aca="false">SIP_Fund2_HDFCMidcap!E10</f>
        <v>14.9563698022626</v>
      </c>
      <c r="F266" s="38" t="n">
        <f aca="false">Assumptions!$C$5-B266</f>
        <v>3880</v>
      </c>
      <c r="G266" s="41" t="n">
        <f aca="false">Assumptions!$D$21*(1+Assumptions!$F$21)^((Assumptions!$C$5-Assumptions!$C$4)/365)</f>
        <v>807.609511036577</v>
      </c>
      <c r="H266" s="40" t="n">
        <f aca="false">E266*G266</f>
        <v>12078.9065028876</v>
      </c>
      <c r="I266" s="48" t="n">
        <f aca="false">IF(F266&lt;365,Assumptions!$G$21,IF(F266&lt;=730,Assumptions!$H$21,Assumptions!$I$21))</f>
        <v>0</v>
      </c>
      <c r="J266" s="40" t="n">
        <f aca="false">H266*I266</f>
        <v>0</v>
      </c>
      <c r="K266" s="40" t="n">
        <f aca="false">H266-J266</f>
        <v>12078.9065028876</v>
      </c>
      <c r="L266" s="40" t="n">
        <f aca="false">K266-C266</f>
        <v>9078.90650288757</v>
      </c>
      <c r="M266" s="38" t="str">
        <f aca="false">IF(F266&gt;365,"LTCG","STCG")</f>
        <v>LTCG</v>
      </c>
      <c r="N266" s="48" t="n">
        <f aca="false">IF(M266="LTCG",Assumptions!$C$12,Assumptions!$C$11)</f>
        <v>0.125</v>
      </c>
      <c r="O266" s="38" t="str">
        <f aca="false">IF(M266="STCG",MAX(L266,0)*Assumptions!$C$11,"agg. below")</f>
        <v>agg. below</v>
      </c>
    </row>
    <row r="267" customFormat="false" ht="15" hidden="false" customHeight="false" outlineLevel="1" collapsed="false">
      <c r="A267" s="33" t="str">
        <f aca="false">TEXT(SIP_Fund2_HDFCMidcap!B11,"mmm-yyyy")</f>
        <v>Jul-2025</v>
      </c>
      <c r="B267" s="34" t="n">
        <f aca="false">SIP_Fund2_HDFCMidcap!B11</f>
        <v>45839</v>
      </c>
      <c r="C267" s="35" t="n">
        <f aca="false">SIP_Fund2_HDFCMidcap!C11</f>
        <v>3000</v>
      </c>
      <c r="D267" s="36" t="n">
        <f aca="false">SIP_Fund2_HDFCMidcap!D11</f>
        <v>202.755279284769</v>
      </c>
      <c r="E267" s="37" t="n">
        <f aca="false">SIP_Fund2_HDFCMidcap!E11</f>
        <v>14.7961622039272</v>
      </c>
      <c r="F267" s="33" t="n">
        <f aca="false">Assumptions!$C$5-B267</f>
        <v>3850</v>
      </c>
      <c r="G267" s="36" t="n">
        <f aca="false">Assumptions!$D$21*(1+Assumptions!$F$21)^((Assumptions!$C$5-Assumptions!$C$4)/365)</f>
        <v>807.609511036577</v>
      </c>
      <c r="H267" s="35" t="n">
        <f aca="false">E267*G267</f>
        <v>11949.5213227315</v>
      </c>
      <c r="I267" s="47" t="n">
        <f aca="false">IF(F267&lt;365,Assumptions!$G$21,IF(F267&lt;=730,Assumptions!$H$21,Assumptions!$I$21))</f>
        <v>0</v>
      </c>
      <c r="J267" s="35" t="n">
        <f aca="false">H267*I267</f>
        <v>0</v>
      </c>
      <c r="K267" s="35" t="n">
        <f aca="false">H267-J267</f>
        <v>11949.5213227315</v>
      </c>
      <c r="L267" s="35" t="n">
        <f aca="false">K267-C267</f>
        <v>8949.52132273154</v>
      </c>
      <c r="M267" s="33" t="str">
        <f aca="false">IF(F267&gt;365,"LTCG","STCG")</f>
        <v>LTCG</v>
      </c>
      <c r="N267" s="47" t="n">
        <f aca="false">IF(M267="LTCG",Assumptions!$C$12,Assumptions!$C$11)</f>
        <v>0.125</v>
      </c>
      <c r="O267" s="33" t="str">
        <f aca="false">IF(M267="STCG",MAX(L267,0)*Assumptions!$C$11,"agg. below")</f>
        <v>agg. below</v>
      </c>
    </row>
    <row r="268" customFormat="false" ht="15" hidden="false" customHeight="false" outlineLevel="1" collapsed="false">
      <c r="A268" s="38" t="str">
        <f aca="false">TEXT(SIP_Fund2_HDFCMidcap!B12,"mmm-yyyy")</f>
        <v>Aug-2025</v>
      </c>
      <c r="B268" s="39" t="n">
        <f aca="false">SIP_Fund2_HDFCMidcap!B12</f>
        <v>45870</v>
      </c>
      <c r="C268" s="40" t="n">
        <f aca="false">SIP_Fund2_HDFCMidcap!C12</f>
        <v>3000</v>
      </c>
      <c r="D268" s="41" t="n">
        <f aca="false">SIP_Fund2_HDFCMidcap!D12</f>
        <v>205.024228266025</v>
      </c>
      <c r="E268" s="42" t="n">
        <f aca="false">SIP_Fund2_HDFCMidcap!E12</f>
        <v>14.6324169849205</v>
      </c>
      <c r="F268" s="38" t="n">
        <f aca="false">Assumptions!$C$5-B268</f>
        <v>3819</v>
      </c>
      <c r="G268" s="41" t="n">
        <f aca="false">Assumptions!$D$21*(1+Assumptions!$F$21)^((Assumptions!$C$5-Assumptions!$C$4)/365)</f>
        <v>807.609511036577</v>
      </c>
      <c r="H268" s="40" t="n">
        <f aca="false">E268*G268</f>
        <v>11817.2791264749</v>
      </c>
      <c r="I268" s="48" t="n">
        <f aca="false">IF(F268&lt;365,Assumptions!$G$21,IF(F268&lt;=730,Assumptions!$H$21,Assumptions!$I$21))</f>
        <v>0</v>
      </c>
      <c r="J268" s="40" t="n">
        <f aca="false">H268*I268</f>
        <v>0</v>
      </c>
      <c r="K268" s="40" t="n">
        <f aca="false">H268-J268</f>
        <v>11817.2791264749</v>
      </c>
      <c r="L268" s="40" t="n">
        <f aca="false">K268-C268</f>
        <v>8817.27912647493</v>
      </c>
      <c r="M268" s="38" t="str">
        <f aca="false">IF(F268&gt;365,"LTCG","STCG")</f>
        <v>LTCG</v>
      </c>
      <c r="N268" s="48" t="n">
        <f aca="false">IF(M268="LTCG",Assumptions!$C$12,Assumptions!$C$11)</f>
        <v>0.125</v>
      </c>
      <c r="O268" s="38" t="str">
        <f aca="false">IF(M268="STCG",MAX(L268,0)*Assumptions!$C$11,"agg. below")</f>
        <v>agg. below</v>
      </c>
    </row>
    <row r="269" customFormat="false" ht="15" hidden="false" customHeight="false" outlineLevel="1" collapsed="false">
      <c r="A269" s="33" t="str">
        <f aca="false">TEXT(SIP_Fund2_HDFCMidcap!B13,"mmm-yyyy")</f>
        <v>Sep-2025</v>
      </c>
      <c r="B269" s="34" t="n">
        <f aca="false">SIP_Fund2_HDFCMidcap!B13</f>
        <v>45901</v>
      </c>
      <c r="C269" s="35" t="n">
        <f aca="false">SIP_Fund2_HDFCMidcap!C13</f>
        <v>3000</v>
      </c>
      <c r="D269" s="36" t="n">
        <f aca="false">SIP_Fund2_HDFCMidcap!D13</f>
        <v>207.318568100224</v>
      </c>
      <c r="E269" s="37" t="n">
        <f aca="false">SIP_Fund2_HDFCMidcap!E13</f>
        <v>14.4704838910025</v>
      </c>
      <c r="F269" s="33" t="n">
        <f aca="false">Assumptions!$C$5-B269</f>
        <v>3788</v>
      </c>
      <c r="G269" s="36" t="n">
        <f aca="false">Assumptions!$D$21*(1+Assumptions!$F$21)^((Assumptions!$C$5-Assumptions!$C$4)/365)</f>
        <v>807.609511036577</v>
      </c>
      <c r="H269" s="35" t="n">
        <f aca="false">E269*G269</f>
        <v>11686.5004196752</v>
      </c>
      <c r="I269" s="47" t="n">
        <f aca="false">IF(F269&lt;365,Assumptions!$G$21,IF(F269&lt;=730,Assumptions!$H$21,Assumptions!$I$21))</f>
        <v>0</v>
      </c>
      <c r="J269" s="35" t="n">
        <f aca="false">H269*I269</f>
        <v>0</v>
      </c>
      <c r="K269" s="35" t="n">
        <f aca="false">H269-J269</f>
        <v>11686.5004196752</v>
      </c>
      <c r="L269" s="35" t="n">
        <f aca="false">K269-C269</f>
        <v>8686.50041967522</v>
      </c>
      <c r="M269" s="33" t="str">
        <f aca="false">IF(F269&gt;365,"LTCG","STCG")</f>
        <v>LTCG</v>
      </c>
      <c r="N269" s="47" t="n">
        <f aca="false">IF(M269="LTCG",Assumptions!$C$12,Assumptions!$C$11)</f>
        <v>0.125</v>
      </c>
      <c r="O269" s="33" t="str">
        <f aca="false">IF(M269="STCG",MAX(L269,0)*Assumptions!$C$11,"agg. below")</f>
        <v>agg. below</v>
      </c>
    </row>
    <row r="270" customFormat="false" ht="15" hidden="false" customHeight="false" outlineLevel="1" collapsed="false">
      <c r="A270" s="38" t="str">
        <f aca="false">TEXT(SIP_Fund2_HDFCMidcap!B14,"mmm-yyyy")</f>
        <v>Oct-2025</v>
      </c>
      <c r="B270" s="39" t="n">
        <f aca="false">SIP_Fund2_HDFCMidcap!B14</f>
        <v>45931</v>
      </c>
      <c r="C270" s="40" t="n">
        <f aca="false">SIP_Fund2_HDFCMidcap!C14</f>
        <v>3000</v>
      </c>
      <c r="D270" s="41" t="n">
        <f aca="false">SIP_Fund2_HDFCMidcap!D14</f>
        <v>209.563340050403</v>
      </c>
      <c r="E270" s="42" t="n">
        <f aca="false">SIP_Fund2_HDFCMidcap!E14</f>
        <v>14.3154809389775</v>
      </c>
      <c r="F270" s="38" t="n">
        <f aca="false">Assumptions!$C$5-B270</f>
        <v>3758</v>
      </c>
      <c r="G270" s="41" t="n">
        <f aca="false">Assumptions!$D$21*(1+Assumptions!$F$21)^((Assumptions!$C$5-Assumptions!$C$4)/365)</f>
        <v>807.609511036577</v>
      </c>
      <c r="H270" s="40" t="n">
        <f aca="false">E270*G270</f>
        <v>11561.318561381</v>
      </c>
      <c r="I270" s="48" t="n">
        <f aca="false">IF(F270&lt;365,Assumptions!$G$21,IF(F270&lt;=730,Assumptions!$H$21,Assumptions!$I$21))</f>
        <v>0</v>
      </c>
      <c r="J270" s="40" t="n">
        <f aca="false">H270*I270</f>
        <v>0</v>
      </c>
      <c r="K270" s="40" t="n">
        <f aca="false">H270-J270</f>
        <v>11561.318561381</v>
      </c>
      <c r="L270" s="40" t="n">
        <f aca="false">K270-C270</f>
        <v>8561.31856138104</v>
      </c>
      <c r="M270" s="38" t="str">
        <f aca="false">IF(F270&gt;365,"LTCG","STCG")</f>
        <v>LTCG</v>
      </c>
      <c r="N270" s="48" t="n">
        <f aca="false">IF(M270="LTCG",Assumptions!$C$12,Assumptions!$C$11)</f>
        <v>0.125</v>
      </c>
      <c r="O270" s="38" t="str">
        <f aca="false">IF(M270="STCG",MAX(L270,0)*Assumptions!$C$11,"agg. below")</f>
        <v>agg. below</v>
      </c>
    </row>
    <row r="271" customFormat="false" ht="15" hidden="false" customHeight="false" outlineLevel="1" collapsed="false">
      <c r="A271" s="33" t="str">
        <f aca="false">TEXT(SIP_Fund2_HDFCMidcap!B15,"mmm-yyyy")</f>
        <v>Nov-2025</v>
      </c>
      <c r="B271" s="34" t="n">
        <f aca="false">SIP_Fund2_HDFCMidcap!B15</f>
        <v>45962</v>
      </c>
      <c r="C271" s="35" t="n">
        <f aca="false">SIP_Fund2_HDFCMidcap!C15</f>
        <v>3000</v>
      </c>
      <c r="D271" s="36" t="n">
        <f aca="false">SIP_Fund2_HDFCMidcap!D15</f>
        <v>211.908475173855</v>
      </c>
      <c r="E271" s="37" t="n">
        <f aca="false">SIP_Fund2_HDFCMidcap!E15</f>
        <v>14.1570552925678</v>
      </c>
      <c r="F271" s="33" t="n">
        <f aca="false">Assumptions!$C$5-B271</f>
        <v>3727</v>
      </c>
      <c r="G271" s="36" t="n">
        <f aca="false">Assumptions!$D$21*(1+Assumptions!$F$21)^((Assumptions!$C$5-Assumptions!$C$4)/365)</f>
        <v>807.609511036577</v>
      </c>
      <c r="H271" s="35" t="n">
        <f aca="false">E271*G271</f>
        <v>11433.3725025485</v>
      </c>
      <c r="I271" s="47" t="n">
        <f aca="false">IF(F271&lt;365,Assumptions!$G$21,IF(F271&lt;=730,Assumptions!$H$21,Assumptions!$I$21))</f>
        <v>0</v>
      </c>
      <c r="J271" s="35" t="n">
        <f aca="false">H271*I271</f>
        <v>0</v>
      </c>
      <c r="K271" s="35" t="n">
        <f aca="false">H271-J271</f>
        <v>11433.3725025485</v>
      </c>
      <c r="L271" s="35" t="n">
        <f aca="false">K271-C271</f>
        <v>8433.37250254846</v>
      </c>
      <c r="M271" s="33" t="str">
        <f aca="false">IF(F271&gt;365,"LTCG","STCG")</f>
        <v>LTCG</v>
      </c>
      <c r="N271" s="47" t="n">
        <f aca="false">IF(M271="LTCG",Assumptions!$C$12,Assumptions!$C$11)</f>
        <v>0.125</v>
      </c>
      <c r="O271" s="33" t="str">
        <f aca="false">IF(M271="STCG",MAX(L271,0)*Assumptions!$C$11,"agg. below")</f>
        <v>agg. below</v>
      </c>
    </row>
    <row r="272" customFormat="false" ht="15" hidden="false" customHeight="false" outlineLevel="1" collapsed="false">
      <c r="A272" s="38" t="str">
        <f aca="false">TEXT(SIP_Fund2_HDFCMidcap!B16,"mmm-yyyy")</f>
        <v>Dec-2025</v>
      </c>
      <c r="B272" s="39" t="n">
        <f aca="false">SIP_Fund2_HDFCMidcap!B16</f>
        <v>45992</v>
      </c>
      <c r="C272" s="40" t="n">
        <f aca="false">SIP_Fund2_HDFCMidcap!C16</f>
        <v>3000</v>
      </c>
      <c r="D272" s="41" t="n">
        <f aca="false">SIP_Fund2_HDFCMidcap!D16</f>
        <v>214.202945010467</v>
      </c>
      <c r="E272" s="42" t="n">
        <f aca="false">SIP_Fund2_HDFCMidcap!E16</f>
        <v>14.005409682175</v>
      </c>
      <c r="F272" s="38" t="n">
        <f aca="false">Assumptions!$C$5-B272</f>
        <v>3697</v>
      </c>
      <c r="G272" s="41" t="n">
        <f aca="false">Assumptions!$D$21*(1+Assumptions!$F$21)^((Assumptions!$C$5-Assumptions!$C$4)/365)</f>
        <v>807.609511036577</v>
      </c>
      <c r="H272" s="40" t="n">
        <f aca="false">E272*G272</f>
        <v>11310.9020652883</v>
      </c>
      <c r="I272" s="48" t="n">
        <f aca="false">IF(F272&lt;365,Assumptions!$G$21,IF(F272&lt;=730,Assumptions!$H$21,Assumptions!$I$21))</f>
        <v>0</v>
      </c>
      <c r="J272" s="40" t="n">
        <f aca="false">H272*I272</f>
        <v>0</v>
      </c>
      <c r="K272" s="40" t="n">
        <f aca="false">H272-J272</f>
        <v>11310.9020652883</v>
      </c>
      <c r="L272" s="40" t="n">
        <f aca="false">K272-C272</f>
        <v>8310.9020652883</v>
      </c>
      <c r="M272" s="38" t="str">
        <f aca="false">IF(F272&gt;365,"LTCG","STCG")</f>
        <v>LTCG</v>
      </c>
      <c r="N272" s="48" t="n">
        <f aca="false">IF(M272="LTCG",Assumptions!$C$12,Assumptions!$C$11)</f>
        <v>0.125</v>
      </c>
      <c r="O272" s="38" t="str">
        <f aca="false">IF(M272="STCG",MAX(L272,0)*Assumptions!$C$11,"agg. below")</f>
        <v>agg. below</v>
      </c>
    </row>
    <row r="273" customFormat="false" ht="15" hidden="false" customHeight="false" outlineLevel="1" collapsed="false">
      <c r="A273" s="33" t="str">
        <f aca="false">TEXT(SIP_Fund2_HDFCMidcap!B17,"mmm-yyyy")</f>
        <v>Jan-2026</v>
      </c>
      <c r="B273" s="34" t="n">
        <f aca="false">SIP_Fund2_HDFCMidcap!B17</f>
        <v>46023</v>
      </c>
      <c r="C273" s="35" t="n">
        <f aca="false">SIP_Fund2_HDFCMidcap!C17</f>
        <v>4000</v>
      </c>
      <c r="D273" s="36" t="n">
        <f aca="false">SIP_Fund2_HDFCMidcap!D17</f>
        <v>216.6</v>
      </c>
      <c r="E273" s="37" t="n">
        <f aca="false">SIP_Fund2_HDFCMidcap!E17</f>
        <v>18.4672206832872</v>
      </c>
      <c r="F273" s="33" t="n">
        <f aca="false">Assumptions!$C$5-B273</f>
        <v>3666</v>
      </c>
      <c r="G273" s="36" t="n">
        <f aca="false">Assumptions!$D$21*(1+Assumptions!$F$21)^((Assumptions!$C$5-Assumptions!$C$4)/365)</f>
        <v>807.609511036577</v>
      </c>
      <c r="H273" s="35" t="n">
        <f aca="false">E273*G273</f>
        <v>14914.3030662341</v>
      </c>
      <c r="I273" s="47" t="n">
        <f aca="false">IF(F273&lt;365,Assumptions!$G$21,IF(F273&lt;=730,Assumptions!$H$21,Assumptions!$I$21))</f>
        <v>0</v>
      </c>
      <c r="J273" s="35" t="n">
        <f aca="false">H273*I273</f>
        <v>0</v>
      </c>
      <c r="K273" s="35" t="n">
        <f aca="false">H273-J273</f>
        <v>14914.3030662341</v>
      </c>
      <c r="L273" s="35" t="n">
        <f aca="false">K273-C273</f>
        <v>10914.3030662341</v>
      </c>
      <c r="M273" s="33" t="str">
        <f aca="false">IF(F273&gt;365,"LTCG","STCG")</f>
        <v>LTCG</v>
      </c>
      <c r="N273" s="47" t="n">
        <f aca="false">IF(M273="LTCG",Assumptions!$C$12,Assumptions!$C$11)</f>
        <v>0.125</v>
      </c>
      <c r="O273" s="33" t="str">
        <f aca="false">IF(M273="STCG",MAX(L273,0)*Assumptions!$C$11,"agg. below")</f>
        <v>agg. below</v>
      </c>
    </row>
    <row r="274" customFormat="false" ht="15" hidden="false" customHeight="false" outlineLevel="1" collapsed="false">
      <c r="A274" s="38" t="str">
        <f aca="false">TEXT(SIP_Fund2_HDFCMidcap!B18,"mmm-yyyy")</f>
        <v>Feb-2026</v>
      </c>
      <c r="B274" s="39" t="n">
        <f aca="false">SIP_Fund2_HDFCMidcap!B18</f>
        <v>46054</v>
      </c>
      <c r="C274" s="40" t="n">
        <f aca="false">SIP_Fund2_HDFCMidcap!C18</f>
        <v>4000</v>
      </c>
      <c r="D274" s="41" t="n">
        <f aca="false">SIP_Fund2_HDFCMidcap!D18</f>
        <v>219.023879422888</v>
      </c>
      <c r="E274" s="42" t="n">
        <f aca="false">SIP_Fund2_HDFCMidcap!E18</f>
        <v>18.2628488297245</v>
      </c>
      <c r="F274" s="38" t="n">
        <f aca="false">Assumptions!$C$5-B274</f>
        <v>3635</v>
      </c>
      <c r="G274" s="41" t="n">
        <f aca="false">Assumptions!$D$21*(1+Assumptions!$F$21)^((Assumptions!$C$5-Assumptions!$C$4)/365)</f>
        <v>807.609511036577</v>
      </c>
      <c r="H274" s="40" t="n">
        <f aca="false">E274*G274</f>
        <v>14749.2504135087</v>
      </c>
      <c r="I274" s="48" t="n">
        <f aca="false">IF(F274&lt;365,Assumptions!$G$21,IF(F274&lt;=730,Assumptions!$H$21,Assumptions!$I$21))</f>
        <v>0</v>
      </c>
      <c r="J274" s="40" t="n">
        <f aca="false">H274*I274</f>
        <v>0</v>
      </c>
      <c r="K274" s="40" t="n">
        <f aca="false">H274-J274</f>
        <v>14749.2504135087</v>
      </c>
      <c r="L274" s="40" t="n">
        <f aca="false">K274-C274</f>
        <v>10749.2504135087</v>
      </c>
      <c r="M274" s="38" t="str">
        <f aca="false">IF(F274&gt;365,"LTCG","STCG")</f>
        <v>LTCG</v>
      </c>
      <c r="N274" s="48" t="n">
        <f aca="false">IF(M274="LTCG",Assumptions!$C$12,Assumptions!$C$11)</f>
        <v>0.125</v>
      </c>
      <c r="O274" s="38" t="str">
        <f aca="false">IF(M274="STCG",MAX(L274,0)*Assumptions!$C$11,"agg. below")</f>
        <v>agg. below</v>
      </c>
    </row>
    <row r="275" customFormat="false" ht="15" hidden="false" customHeight="false" outlineLevel="1" collapsed="false">
      <c r="A275" s="33" t="str">
        <f aca="false">TEXT(SIP_Fund2_HDFCMidcap!B19,"mmm-yyyy")</f>
        <v>Mar-2026</v>
      </c>
      <c r="B275" s="34" t="n">
        <f aca="false">SIP_Fund2_HDFCMidcap!B19</f>
        <v>46082</v>
      </c>
      <c r="C275" s="35" t="n">
        <f aca="false">SIP_Fund2_HDFCMidcap!C19</f>
        <v>4000</v>
      </c>
      <c r="D275" s="36" t="n">
        <f aca="false">SIP_Fund2_HDFCMidcap!D19</f>
        <v>221.236495663575</v>
      </c>
      <c r="E275" s="37" t="n">
        <f aca="false">SIP_Fund2_HDFCMidcap!E19</f>
        <v>18.0801995981831</v>
      </c>
      <c r="F275" s="33" t="n">
        <f aca="false">Assumptions!$C$5-B275</f>
        <v>3607</v>
      </c>
      <c r="G275" s="36" t="n">
        <f aca="false">Assumptions!$D$21*(1+Assumptions!$F$21)^((Assumptions!$C$5-Assumptions!$C$4)/365)</f>
        <v>807.609511036577</v>
      </c>
      <c r="H275" s="35" t="n">
        <f aca="false">E275*G275</f>
        <v>14601.7411569324</v>
      </c>
      <c r="I275" s="47" t="n">
        <f aca="false">IF(F275&lt;365,Assumptions!$G$21,IF(F275&lt;=730,Assumptions!$H$21,Assumptions!$I$21))</f>
        <v>0</v>
      </c>
      <c r="J275" s="35" t="n">
        <f aca="false">H275*I275</f>
        <v>0</v>
      </c>
      <c r="K275" s="35" t="n">
        <f aca="false">H275-J275</f>
        <v>14601.7411569324</v>
      </c>
      <c r="L275" s="35" t="n">
        <f aca="false">K275-C275</f>
        <v>10601.7411569324</v>
      </c>
      <c r="M275" s="33" t="str">
        <f aca="false">IF(F275&gt;365,"LTCG","STCG")</f>
        <v>LTCG</v>
      </c>
      <c r="N275" s="47" t="n">
        <f aca="false">IF(M275="LTCG",Assumptions!$C$12,Assumptions!$C$11)</f>
        <v>0.125</v>
      </c>
      <c r="O275" s="33" t="str">
        <f aca="false">IF(M275="STCG",MAX(L275,0)*Assumptions!$C$11,"agg. below")</f>
        <v>agg. below</v>
      </c>
    </row>
    <row r="276" customFormat="false" ht="15" hidden="false" customHeight="false" outlineLevel="1" collapsed="false">
      <c r="A276" s="38" t="str">
        <f aca="false">TEXT(SIP_Fund2_HDFCMidcap!B20,"mmm-yyyy")</f>
        <v>Apr-2026</v>
      </c>
      <c r="B276" s="39" t="n">
        <f aca="false">SIP_Fund2_HDFCMidcap!B20</f>
        <v>46113</v>
      </c>
      <c r="C276" s="40" t="n">
        <f aca="false">SIP_Fund2_HDFCMidcap!C20</f>
        <v>4000</v>
      </c>
      <c r="D276" s="41" t="n">
        <f aca="false">SIP_Fund2_HDFCMidcap!D20</f>
        <v>223.712260157715</v>
      </c>
      <c r="E276" s="42" t="n">
        <f aca="false">SIP_Fund2_HDFCMidcap!E20</f>
        <v>17.8801108047455</v>
      </c>
      <c r="F276" s="38" t="n">
        <f aca="false">Assumptions!$C$5-B276</f>
        <v>3576</v>
      </c>
      <c r="G276" s="41" t="n">
        <f aca="false">Assumptions!$D$21*(1+Assumptions!$F$21)^((Assumptions!$C$5-Assumptions!$C$4)/365)</f>
        <v>807.609511036577</v>
      </c>
      <c r="H276" s="40" t="n">
        <f aca="false">E276*G276</f>
        <v>14440.1475443004</v>
      </c>
      <c r="I276" s="48" t="n">
        <f aca="false">IF(F276&lt;365,Assumptions!$G$21,IF(F276&lt;=730,Assumptions!$H$21,Assumptions!$I$21))</f>
        <v>0</v>
      </c>
      <c r="J276" s="40" t="n">
        <f aca="false">H276*I276</f>
        <v>0</v>
      </c>
      <c r="K276" s="40" t="n">
        <f aca="false">H276-J276</f>
        <v>14440.1475443004</v>
      </c>
      <c r="L276" s="40" t="n">
        <f aca="false">K276-C276</f>
        <v>10440.1475443004</v>
      </c>
      <c r="M276" s="38" t="str">
        <f aca="false">IF(F276&gt;365,"LTCG","STCG")</f>
        <v>LTCG</v>
      </c>
      <c r="N276" s="48" t="n">
        <f aca="false">IF(M276="LTCG",Assumptions!$C$12,Assumptions!$C$11)</f>
        <v>0.125</v>
      </c>
      <c r="O276" s="38" t="str">
        <f aca="false">IF(M276="STCG",MAX(L276,0)*Assumptions!$C$11,"agg. below")</f>
        <v>agg. below</v>
      </c>
    </row>
    <row r="277" customFormat="false" ht="15" hidden="false" customHeight="false" outlineLevel="1" collapsed="false">
      <c r="A277" s="33" t="str">
        <f aca="false">TEXT(SIP_Fund2_HDFCMidcap!B21,"mmm-yyyy")</f>
        <v>May-2026</v>
      </c>
      <c r="B277" s="34" t="n">
        <f aca="false">SIP_Fund2_HDFCMidcap!B21</f>
        <v>46143</v>
      </c>
      <c r="C277" s="35" t="n">
        <f aca="false">SIP_Fund2_HDFCMidcap!C21</f>
        <v>4000</v>
      </c>
      <c r="D277" s="36" t="n">
        <f aca="false">SIP_Fund2_HDFCMidcap!D21</f>
        <v>226.134537193076</v>
      </c>
      <c r="E277" s="37" t="n">
        <f aca="false">SIP_Fund2_HDFCMidcap!E21</f>
        <v>17.6885850770542</v>
      </c>
      <c r="F277" s="33" t="n">
        <f aca="false">Assumptions!$C$5-B277</f>
        <v>3546</v>
      </c>
      <c r="G277" s="36" t="n">
        <f aca="false">Assumptions!$D$21*(1+Assumptions!$F$21)^((Assumptions!$C$5-Assumptions!$C$4)/365)</f>
        <v>807.609511036577</v>
      </c>
      <c r="H277" s="35" t="n">
        <f aca="false">E277*G277</f>
        <v>14285.4695450086</v>
      </c>
      <c r="I277" s="47" t="n">
        <f aca="false">IF(F277&lt;365,Assumptions!$G$21,IF(F277&lt;=730,Assumptions!$H$21,Assumptions!$I$21))</f>
        <v>0</v>
      </c>
      <c r="J277" s="35" t="n">
        <f aca="false">H277*I277</f>
        <v>0</v>
      </c>
      <c r="K277" s="35" t="n">
        <f aca="false">H277-J277</f>
        <v>14285.4695450086</v>
      </c>
      <c r="L277" s="35" t="n">
        <f aca="false">K277-C277</f>
        <v>10285.4695450086</v>
      </c>
      <c r="M277" s="33" t="str">
        <f aca="false">IF(F277&gt;365,"LTCG","STCG")</f>
        <v>LTCG</v>
      </c>
      <c r="N277" s="47" t="n">
        <f aca="false">IF(M277="LTCG",Assumptions!$C$12,Assumptions!$C$11)</f>
        <v>0.125</v>
      </c>
      <c r="O277" s="33" t="str">
        <f aca="false">IF(M277="STCG",MAX(L277,0)*Assumptions!$C$11,"agg. below")</f>
        <v>agg. below</v>
      </c>
    </row>
    <row r="278" customFormat="false" ht="15" hidden="false" customHeight="false" outlineLevel="1" collapsed="false">
      <c r="A278" s="38" t="str">
        <f aca="false">TEXT(SIP_Fund2_HDFCMidcap!B22,"mmm-yyyy")</f>
        <v>Jun-2026</v>
      </c>
      <c r="B278" s="39" t="n">
        <f aca="false">SIP_Fund2_HDFCMidcap!B22</f>
        <v>46174</v>
      </c>
      <c r="C278" s="40" t="n">
        <f aca="false">SIP_Fund2_HDFCMidcap!C22</f>
        <v>4000</v>
      </c>
      <c r="D278" s="41" t="n">
        <f aca="false">SIP_Fund2_HDFCMidcap!D22</f>
        <v>228.665113608157</v>
      </c>
      <c r="E278" s="42" t="n">
        <f aca="false">SIP_Fund2_HDFCMidcap!E22</f>
        <v>17.492830178085</v>
      </c>
      <c r="F278" s="38" t="n">
        <f aca="false">Assumptions!$C$5-B278</f>
        <v>3515</v>
      </c>
      <c r="G278" s="41" t="n">
        <f aca="false">Assumptions!$D$21*(1+Assumptions!$F$21)^((Assumptions!$C$5-Assumptions!$C$4)/365)</f>
        <v>807.609511036577</v>
      </c>
      <c r="H278" s="40" t="n">
        <f aca="false">E278*G278</f>
        <v>14127.3760267691</v>
      </c>
      <c r="I278" s="48" t="n">
        <f aca="false">IF(F278&lt;365,Assumptions!$G$21,IF(F278&lt;=730,Assumptions!$H$21,Assumptions!$I$21))</f>
        <v>0</v>
      </c>
      <c r="J278" s="40" t="n">
        <f aca="false">H278*I278</f>
        <v>0</v>
      </c>
      <c r="K278" s="40" t="n">
        <f aca="false">H278-J278</f>
        <v>14127.3760267691</v>
      </c>
      <c r="L278" s="40" t="n">
        <f aca="false">K278-C278</f>
        <v>10127.3760267691</v>
      </c>
      <c r="M278" s="38" t="str">
        <f aca="false">IF(F278&gt;365,"LTCG","STCG")</f>
        <v>LTCG</v>
      </c>
      <c r="N278" s="48" t="n">
        <f aca="false">IF(M278="LTCG",Assumptions!$C$12,Assumptions!$C$11)</f>
        <v>0.125</v>
      </c>
      <c r="O278" s="38" t="str">
        <f aca="false">IF(M278="STCG",MAX(L278,0)*Assumptions!$C$11,"agg. below")</f>
        <v>agg. below</v>
      </c>
    </row>
    <row r="279" customFormat="false" ht="15" hidden="false" customHeight="false" outlineLevel="1" collapsed="false">
      <c r="A279" s="33" t="str">
        <f aca="false">TEXT(SIP_Fund2_HDFCMidcap!B23,"mmm-yyyy")</f>
        <v>Jul-2026</v>
      </c>
      <c r="B279" s="34" t="n">
        <f aca="false">SIP_Fund2_HDFCMidcap!B23</f>
        <v>46204</v>
      </c>
      <c r="C279" s="35" t="n">
        <f aca="false">SIP_Fund2_HDFCMidcap!C23</f>
        <v>4000</v>
      </c>
      <c r="D279" s="36" t="n">
        <f aca="false">SIP_Fund2_HDFCMidcap!D23</f>
        <v>231.141018384636</v>
      </c>
      <c r="E279" s="37" t="n">
        <f aca="false">SIP_Fund2_HDFCMidcap!E23</f>
        <v>17.3054528700903</v>
      </c>
      <c r="F279" s="33" t="n">
        <f aca="false">Assumptions!$C$5-B279</f>
        <v>3485</v>
      </c>
      <c r="G279" s="36" t="n">
        <f aca="false">Assumptions!$D$21*(1+Assumptions!$F$21)^((Assumptions!$C$5-Assumptions!$C$4)/365)</f>
        <v>807.609511036577</v>
      </c>
      <c r="H279" s="35" t="n">
        <f aca="false">E279*G279</f>
        <v>13976.0483306802</v>
      </c>
      <c r="I279" s="47" t="n">
        <f aca="false">IF(F279&lt;365,Assumptions!$G$21,IF(F279&lt;=730,Assumptions!$H$21,Assumptions!$I$21))</f>
        <v>0</v>
      </c>
      <c r="J279" s="35" t="n">
        <f aca="false">H279*I279</f>
        <v>0</v>
      </c>
      <c r="K279" s="35" t="n">
        <f aca="false">H279-J279</f>
        <v>13976.0483306802</v>
      </c>
      <c r="L279" s="35" t="n">
        <f aca="false">K279-C279</f>
        <v>9976.04833068016</v>
      </c>
      <c r="M279" s="33" t="str">
        <f aca="false">IF(F279&gt;365,"LTCG","STCG")</f>
        <v>LTCG</v>
      </c>
      <c r="N279" s="47" t="n">
        <f aca="false">IF(M279="LTCG",Assumptions!$C$12,Assumptions!$C$11)</f>
        <v>0.125</v>
      </c>
      <c r="O279" s="33" t="str">
        <f aca="false">IF(M279="STCG",MAX(L279,0)*Assumptions!$C$11,"agg. below")</f>
        <v>agg. below</v>
      </c>
    </row>
    <row r="280" customFormat="false" ht="15" hidden="false" customHeight="false" outlineLevel="1" collapsed="false">
      <c r="A280" s="38" t="str">
        <f aca="false">TEXT(SIP_Fund2_HDFCMidcap!B24,"mmm-yyyy")</f>
        <v>Aug-2026</v>
      </c>
      <c r="B280" s="39" t="n">
        <f aca="false">SIP_Fund2_HDFCMidcap!B24</f>
        <v>46235</v>
      </c>
      <c r="C280" s="40" t="n">
        <f aca="false">SIP_Fund2_HDFCMidcap!C24</f>
        <v>4000</v>
      </c>
      <c r="D280" s="41" t="n">
        <f aca="false">SIP_Fund2_HDFCMidcap!D24</f>
        <v>233.727620223269</v>
      </c>
      <c r="E280" s="42" t="n">
        <f aca="false">SIP_Fund2_HDFCMidcap!E24</f>
        <v>17.113937994059</v>
      </c>
      <c r="F280" s="38" t="n">
        <f aca="false">Assumptions!$C$5-B280</f>
        <v>3454</v>
      </c>
      <c r="G280" s="41" t="n">
        <f aca="false">Assumptions!$D$21*(1+Assumptions!$F$21)^((Assumptions!$C$5-Assumptions!$C$4)/365)</f>
        <v>807.609511036577</v>
      </c>
      <c r="H280" s="40" t="n">
        <f aca="false">E280*G280</f>
        <v>13821.3790952923</v>
      </c>
      <c r="I280" s="48" t="n">
        <f aca="false">IF(F280&lt;365,Assumptions!$G$21,IF(F280&lt;=730,Assumptions!$H$21,Assumptions!$I$21))</f>
        <v>0</v>
      </c>
      <c r="J280" s="40" t="n">
        <f aca="false">H280*I280</f>
        <v>0</v>
      </c>
      <c r="K280" s="40" t="n">
        <f aca="false">H280-J280</f>
        <v>13821.3790952923</v>
      </c>
      <c r="L280" s="40" t="n">
        <f aca="false">K280-C280</f>
        <v>9821.37909529232</v>
      </c>
      <c r="M280" s="38" t="str">
        <f aca="false">IF(F280&gt;365,"LTCG","STCG")</f>
        <v>LTCG</v>
      </c>
      <c r="N280" s="48" t="n">
        <f aca="false">IF(M280="LTCG",Assumptions!$C$12,Assumptions!$C$11)</f>
        <v>0.125</v>
      </c>
      <c r="O280" s="38" t="str">
        <f aca="false">IF(M280="STCG",MAX(L280,0)*Assumptions!$C$11,"agg. below")</f>
        <v>agg. below</v>
      </c>
    </row>
    <row r="281" customFormat="false" ht="15" hidden="false" customHeight="false" outlineLevel="1" collapsed="false">
      <c r="A281" s="33" t="str">
        <f aca="false">TEXT(SIP_Fund2_HDFCMidcap!B25,"mmm-yyyy")</f>
        <v>Sep-2026</v>
      </c>
      <c r="B281" s="34" t="n">
        <f aca="false">SIP_Fund2_HDFCMidcap!B25</f>
        <v>46266</v>
      </c>
      <c r="C281" s="35" t="n">
        <f aca="false">SIP_Fund2_HDFCMidcap!C25</f>
        <v>4000</v>
      </c>
      <c r="D281" s="36" t="n">
        <f aca="false">SIP_Fund2_HDFCMidcap!D25</f>
        <v>236.343167634255</v>
      </c>
      <c r="E281" s="37" t="n">
        <f aca="false">SIP_Fund2_HDFCMidcap!E25</f>
        <v>16.9245425625761</v>
      </c>
      <c r="F281" s="33" t="n">
        <f aca="false">Assumptions!$C$5-B281</f>
        <v>3423</v>
      </c>
      <c r="G281" s="36" t="n">
        <f aca="false">Assumptions!$D$21*(1+Assumptions!$F$21)^((Assumptions!$C$5-Assumptions!$C$4)/365)</f>
        <v>807.609511036577</v>
      </c>
      <c r="H281" s="35" t="n">
        <f aca="false">E281*G281</f>
        <v>13668.4215434798</v>
      </c>
      <c r="I281" s="47" t="n">
        <f aca="false">IF(F281&lt;365,Assumptions!$G$21,IF(F281&lt;=730,Assumptions!$H$21,Assumptions!$I$21))</f>
        <v>0</v>
      </c>
      <c r="J281" s="35" t="n">
        <f aca="false">H281*I281</f>
        <v>0</v>
      </c>
      <c r="K281" s="35" t="n">
        <f aca="false">H281-J281</f>
        <v>13668.4215434798</v>
      </c>
      <c r="L281" s="35" t="n">
        <f aca="false">K281-C281</f>
        <v>9668.42154347979</v>
      </c>
      <c r="M281" s="33" t="str">
        <f aca="false">IF(F281&gt;365,"LTCG","STCG")</f>
        <v>LTCG</v>
      </c>
      <c r="N281" s="47" t="n">
        <f aca="false">IF(M281="LTCG",Assumptions!$C$12,Assumptions!$C$11)</f>
        <v>0.125</v>
      </c>
      <c r="O281" s="33" t="str">
        <f aca="false">IF(M281="STCG",MAX(L281,0)*Assumptions!$C$11,"agg. below")</f>
        <v>agg. below</v>
      </c>
    </row>
    <row r="282" customFormat="false" ht="15" hidden="false" customHeight="false" outlineLevel="1" collapsed="false">
      <c r="A282" s="38" t="str">
        <f aca="false">TEXT(SIP_Fund2_HDFCMidcap!B26,"mmm-yyyy")</f>
        <v>Oct-2026</v>
      </c>
      <c r="B282" s="39" t="n">
        <f aca="false">SIP_Fund2_HDFCMidcap!B26</f>
        <v>46296</v>
      </c>
      <c r="C282" s="40" t="n">
        <f aca="false">SIP_Fund2_HDFCMidcap!C26</f>
        <v>4000</v>
      </c>
      <c r="D282" s="41" t="n">
        <f aca="false">SIP_Fund2_HDFCMidcap!D26</f>
        <v>238.90220765746</v>
      </c>
      <c r="E282" s="42" t="n">
        <f aca="false">SIP_Fund2_HDFCMidcap!E26</f>
        <v>16.7432525602076</v>
      </c>
      <c r="F282" s="38" t="n">
        <f aca="false">Assumptions!$C$5-B282</f>
        <v>3393</v>
      </c>
      <c r="G282" s="41" t="n">
        <f aca="false">Assumptions!$D$21*(1+Assumptions!$F$21)^((Assumptions!$C$5-Assumptions!$C$4)/365)</f>
        <v>807.609511036577</v>
      </c>
      <c r="H282" s="40" t="n">
        <f aca="false">E282*G282</f>
        <v>13522.0100133112</v>
      </c>
      <c r="I282" s="48" t="n">
        <f aca="false">IF(F282&lt;365,Assumptions!$G$21,IF(F282&lt;=730,Assumptions!$H$21,Assumptions!$I$21))</f>
        <v>0</v>
      </c>
      <c r="J282" s="40" t="n">
        <f aca="false">H282*I282</f>
        <v>0</v>
      </c>
      <c r="K282" s="40" t="n">
        <f aca="false">H282-J282</f>
        <v>13522.0100133112</v>
      </c>
      <c r="L282" s="40" t="n">
        <f aca="false">K282-C282</f>
        <v>9522.01001331115</v>
      </c>
      <c r="M282" s="38" t="str">
        <f aca="false">IF(F282&gt;365,"LTCG","STCG")</f>
        <v>LTCG</v>
      </c>
      <c r="N282" s="48" t="n">
        <f aca="false">IF(M282="LTCG",Assumptions!$C$12,Assumptions!$C$11)</f>
        <v>0.125</v>
      </c>
      <c r="O282" s="38" t="str">
        <f aca="false">IF(M282="STCG",MAX(L282,0)*Assumptions!$C$11,"agg. below")</f>
        <v>agg. below</v>
      </c>
    </row>
    <row r="283" customFormat="false" ht="15" hidden="false" customHeight="false" outlineLevel="1" collapsed="false">
      <c r="A283" s="33" t="str">
        <f aca="false">TEXT(SIP_Fund2_HDFCMidcap!B27,"mmm-yyyy")</f>
        <v>Nov-2026</v>
      </c>
      <c r="B283" s="34" t="n">
        <f aca="false">SIP_Fund2_HDFCMidcap!B27</f>
        <v>46327</v>
      </c>
      <c r="C283" s="35" t="n">
        <f aca="false">SIP_Fund2_HDFCMidcap!C27</f>
        <v>4000</v>
      </c>
      <c r="D283" s="36" t="n">
        <f aca="false">SIP_Fund2_HDFCMidcap!D27</f>
        <v>241.575661698195</v>
      </c>
      <c r="E283" s="37" t="n">
        <f aca="false">SIP_Fund2_HDFCMidcap!E27</f>
        <v>16.557959406512</v>
      </c>
      <c r="F283" s="33" t="n">
        <f aca="false">Assumptions!$C$5-B283</f>
        <v>3362</v>
      </c>
      <c r="G283" s="36" t="n">
        <f aca="false">Assumptions!$D$21*(1+Assumptions!$F$21)^((Assumptions!$C$5-Assumptions!$C$4)/365)</f>
        <v>807.609511036577</v>
      </c>
      <c r="H283" s="35" t="n">
        <f aca="false">E283*G283</f>
        <v>13372.3655000567</v>
      </c>
      <c r="I283" s="47" t="n">
        <f aca="false">IF(F283&lt;365,Assumptions!$G$21,IF(F283&lt;=730,Assumptions!$H$21,Assumptions!$I$21))</f>
        <v>0</v>
      </c>
      <c r="J283" s="35" t="n">
        <f aca="false">H283*I283</f>
        <v>0</v>
      </c>
      <c r="K283" s="35" t="n">
        <f aca="false">H283-J283</f>
        <v>13372.3655000567</v>
      </c>
      <c r="L283" s="35" t="n">
        <f aca="false">K283-C283</f>
        <v>9372.36550005668</v>
      </c>
      <c r="M283" s="33" t="str">
        <f aca="false">IF(F283&gt;365,"LTCG","STCG")</f>
        <v>LTCG</v>
      </c>
      <c r="N283" s="47" t="n">
        <f aca="false">IF(M283="LTCG",Assumptions!$C$12,Assumptions!$C$11)</f>
        <v>0.125</v>
      </c>
      <c r="O283" s="33" t="str">
        <f aca="false">IF(M283="STCG",MAX(L283,0)*Assumptions!$C$11,"agg. below")</f>
        <v>agg. below</v>
      </c>
    </row>
    <row r="284" customFormat="false" ht="15" hidden="false" customHeight="false" outlineLevel="1" collapsed="false">
      <c r="A284" s="38" t="str">
        <f aca="false">TEXT(SIP_Fund2_HDFCMidcap!B28,"mmm-yyyy")</f>
        <v>Dec-2026</v>
      </c>
      <c r="B284" s="39" t="n">
        <f aca="false">SIP_Fund2_HDFCMidcap!B28</f>
        <v>46357</v>
      </c>
      <c r="C284" s="40" t="n">
        <f aca="false">SIP_Fund2_HDFCMidcap!C28</f>
        <v>4000</v>
      </c>
      <c r="D284" s="41" t="n">
        <f aca="false">SIP_Fund2_HDFCMidcap!D28</f>
        <v>244.191357311933</v>
      </c>
      <c r="E284" s="42" t="n">
        <f aca="false">SIP_Fund2_HDFCMidcap!E28</f>
        <v>16.3805961195029</v>
      </c>
      <c r="F284" s="38" t="n">
        <f aca="false">Assumptions!$C$5-B284</f>
        <v>3332</v>
      </c>
      <c r="G284" s="41" t="n">
        <f aca="false">Assumptions!$D$21*(1+Assumptions!$F$21)^((Assumptions!$C$5-Assumptions!$C$4)/365)</f>
        <v>807.609511036577</v>
      </c>
      <c r="H284" s="40" t="n">
        <f aca="false">E284*G284</f>
        <v>13229.1252225594</v>
      </c>
      <c r="I284" s="48" t="n">
        <f aca="false">IF(F284&lt;365,Assumptions!$G$21,IF(F284&lt;=730,Assumptions!$H$21,Assumptions!$I$21))</f>
        <v>0</v>
      </c>
      <c r="J284" s="40" t="n">
        <f aca="false">H284*I284</f>
        <v>0</v>
      </c>
      <c r="K284" s="40" t="n">
        <f aca="false">H284-J284</f>
        <v>13229.1252225594</v>
      </c>
      <c r="L284" s="40" t="n">
        <f aca="false">K284-C284</f>
        <v>9229.12522255942</v>
      </c>
      <c r="M284" s="38" t="str">
        <f aca="false">IF(F284&gt;365,"LTCG","STCG")</f>
        <v>LTCG</v>
      </c>
      <c r="N284" s="48" t="n">
        <f aca="false">IF(M284="LTCG",Assumptions!$C$12,Assumptions!$C$11)</f>
        <v>0.125</v>
      </c>
      <c r="O284" s="38" t="str">
        <f aca="false">IF(M284="STCG",MAX(L284,0)*Assumptions!$C$11,"agg. below")</f>
        <v>agg. below</v>
      </c>
    </row>
    <row r="285" customFormat="false" ht="15" hidden="false" customHeight="false" outlineLevel="1" collapsed="false">
      <c r="A285" s="33" t="str">
        <f aca="false">TEXT(SIP_Fund2_HDFCMidcap!B29,"mmm-yyyy")</f>
        <v>Jan-2027</v>
      </c>
      <c r="B285" s="34" t="n">
        <f aca="false">SIP_Fund2_HDFCMidcap!B29</f>
        <v>46388</v>
      </c>
      <c r="C285" s="35" t="n">
        <f aca="false">SIP_Fund2_HDFCMidcap!C29</f>
        <v>5000</v>
      </c>
      <c r="D285" s="36" t="n">
        <f aca="false">SIP_Fund2_HDFCMidcap!D29</f>
        <v>246.924</v>
      </c>
      <c r="E285" s="37" t="n">
        <f aca="false">SIP_Fund2_HDFCMidcap!E29</f>
        <v>20.2491454860605</v>
      </c>
      <c r="F285" s="33" t="n">
        <f aca="false">Assumptions!$C$5-B285</f>
        <v>3301</v>
      </c>
      <c r="G285" s="36" t="n">
        <f aca="false">Assumptions!$D$21*(1+Assumptions!$F$21)^((Assumptions!$C$5-Assumptions!$C$4)/365)</f>
        <v>807.609511036577</v>
      </c>
      <c r="H285" s="35" t="n">
        <f aca="false">E285*G285</f>
        <v>16353.4024849058</v>
      </c>
      <c r="I285" s="47" t="n">
        <f aca="false">IF(F285&lt;365,Assumptions!$G$21,IF(F285&lt;=730,Assumptions!$H$21,Assumptions!$I$21))</f>
        <v>0</v>
      </c>
      <c r="J285" s="35" t="n">
        <f aca="false">H285*I285</f>
        <v>0</v>
      </c>
      <c r="K285" s="35" t="n">
        <f aca="false">H285-J285</f>
        <v>16353.4024849058</v>
      </c>
      <c r="L285" s="35" t="n">
        <f aca="false">K285-C285</f>
        <v>11353.4024849058</v>
      </c>
      <c r="M285" s="33" t="str">
        <f aca="false">IF(F285&gt;365,"LTCG","STCG")</f>
        <v>LTCG</v>
      </c>
      <c r="N285" s="47" t="n">
        <f aca="false">IF(M285="LTCG",Assumptions!$C$12,Assumptions!$C$11)</f>
        <v>0.125</v>
      </c>
      <c r="O285" s="33" t="str">
        <f aca="false">IF(M285="STCG",MAX(L285,0)*Assumptions!$C$11,"agg. below")</f>
        <v>agg. below</v>
      </c>
    </row>
    <row r="286" customFormat="false" ht="15" hidden="false" customHeight="false" outlineLevel="1" collapsed="false">
      <c r="A286" s="38" t="str">
        <f aca="false">TEXT(SIP_Fund2_HDFCMidcap!B30,"mmm-yyyy")</f>
        <v>Feb-2027</v>
      </c>
      <c r="B286" s="39" t="n">
        <f aca="false">SIP_Fund2_HDFCMidcap!B30</f>
        <v>46419</v>
      </c>
      <c r="C286" s="40" t="n">
        <f aca="false">SIP_Fund2_HDFCMidcap!C30</f>
        <v>5000</v>
      </c>
      <c r="D286" s="41" t="n">
        <f aca="false">SIP_Fund2_HDFCMidcap!D30</f>
        <v>249.687222542092</v>
      </c>
      <c r="E286" s="42" t="n">
        <f aca="false">SIP_Fund2_HDFCMidcap!E30</f>
        <v>20.0250535413646</v>
      </c>
      <c r="F286" s="38" t="n">
        <f aca="false">Assumptions!$C$5-B286</f>
        <v>3270</v>
      </c>
      <c r="G286" s="41" t="n">
        <f aca="false">Assumptions!$D$21*(1+Assumptions!$F$21)^((Assumptions!$C$5-Assumptions!$C$4)/365)</f>
        <v>807.609511036577</v>
      </c>
      <c r="H286" s="40" t="n">
        <f aca="false">E286*G286</f>
        <v>16172.4236990227</v>
      </c>
      <c r="I286" s="48" t="n">
        <f aca="false">IF(F286&lt;365,Assumptions!$G$21,IF(F286&lt;=730,Assumptions!$H$21,Assumptions!$I$21))</f>
        <v>0</v>
      </c>
      <c r="J286" s="40" t="n">
        <f aca="false">H286*I286</f>
        <v>0</v>
      </c>
      <c r="K286" s="40" t="n">
        <f aca="false">H286-J286</f>
        <v>16172.4236990227</v>
      </c>
      <c r="L286" s="40" t="n">
        <f aca="false">K286-C286</f>
        <v>11172.4236990227</v>
      </c>
      <c r="M286" s="38" t="str">
        <f aca="false">IF(F286&gt;365,"LTCG","STCG")</f>
        <v>LTCG</v>
      </c>
      <c r="N286" s="48" t="n">
        <f aca="false">IF(M286="LTCG",Assumptions!$C$12,Assumptions!$C$11)</f>
        <v>0.125</v>
      </c>
      <c r="O286" s="38" t="str">
        <f aca="false">IF(M286="STCG",MAX(L286,0)*Assumptions!$C$11,"agg. below")</f>
        <v>agg. below</v>
      </c>
    </row>
    <row r="287" customFormat="false" ht="15" hidden="false" customHeight="false" outlineLevel="1" collapsed="false">
      <c r="A287" s="33" t="str">
        <f aca="false">TEXT(SIP_Fund2_HDFCMidcap!B31,"mmm-yyyy")</f>
        <v>Mar-2027</v>
      </c>
      <c r="B287" s="34" t="n">
        <f aca="false">SIP_Fund2_HDFCMidcap!B31</f>
        <v>46447</v>
      </c>
      <c r="C287" s="35" t="n">
        <f aca="false">SIP_Fund2_HDFCMidcap!C31</f>
        <v>5000</v>
      </c>
      <c r="D287" s="36" t="n">
        <f aca="false">SIP_Fund2_HDFCMidcap!D31</f>
        <v>252.209605056475</v>
      </c>
      <c r="E287" s="37" t="n">
        <f aca="false">SIP_Fund2_HDFCMidcap!E31</f>
        <v>19.8247802611657</v>
      </c>
      <c r="F287" s="33" t="n">
        <f aca="false">Assumptions!$C$5-B287</f>
        <v>3242</v>
      </c>
      <c r="G287" s="36" t="n">
        <f aca="false">Assumptions!$D$21*(1+Assumptions!$F$21)^((Assumptions!$C$5-Assumptions!$C$4)/365)</f>
        <v>807.609511036577</v>
      </c>
      <c r="H287" s="35" t="n">
        <f aca="false">E287*G287</f>
        <v>16010.6810931276</v>
      </c>
      <c r="I287" s="47" t="n">
        <f aca="false">IF(F287&lt;365,Assumptions!$G$21,IF(F287&lt;=730,Assumptions!$H$21,Assumptions!$I$21))</f>
        <v>0</v>
      </c>
      <c r="J287" s="35" t="n">
        <f aca="false">H287*I287</f>
        <v>0</v>
      </c>
      <c r="K287" s="35" t="n">
        <f aca="false">H287-J287</f>
        <v>16010.6810931276</v>
      </c>
      <c r="L287" s="35" t="n">
        <f aca="false">K287-C287</f>
        <v>11010.6810931276</v>
      </c>
      <c r="M287" s="33" t="str">
        <f aca="false">IF(F287&gt;365,"LTCG","STCG")</f>
        <v>LTCG</v>
      </c>
      <c r="N287" s="47" t="n">
        <f aca="false">IF(M287="LTCG",Assumptions!$C$12,Assumptions!$C$11)</f>
        <v>0.125</v>
      </c>
      <c r="O287" s="33" t="str">
        <f aca="false">IF(M287="STCG",MAX(L287,0)*Assumptions!$C$11,"agg. below")</f>
        <v>agg. below</v>
      </c>
    </row>
    <row r="288" customFormat="false" ht="15" hidden="false" customHeight="false" outlineLevel="1" collapsed="false">
      <c r="A288" s="38" t="str">
        <f aca="false">TEXT(SIP_Fund2_HDFCMidcap!B32,"mmm-yyyy")</f>
        <v>Apr-2027</v>
      </c>
      <c r="B288" s="39" t="n">
        <f aca="false">SIP_Fund2_HDFCMidcap!B32</f>
        <v>46478</v>
      </c>
      <c r="C288" s="40" t="n">
        <f aca="false">SIP_Fund2_HDFCMidcap!C32</f>
        <v>5000</v>
      </c>
      <c r="D288" s="41" t="n">
        <f aca="false">SIP_Fund2_HDFCMidcap!D32</f>
        <v>255.031976579795</v>
      </c>
      <c r="E288" s="42" t="n">
        <f aca="false">SIP_Fund2_HDFCMidcap!E32</f>
        <v>19.6053846543263</v>
      </c>
      <c r="F288" s="38" t="n">
        <f aca="false">Assumptions!$C$5-B288</f>
        <v>3211</v>
      </c>
      <c r="G288" s="41" t="n">
        <f aca="false">Assumptions!$D$21*(1+Assumptions!$F$21)^((Assumptions!$C$5-Assumptions!$C$4)/365)</f>
        <v>807.609511036577</v>
      </c>
      <c r="H288" s="40" t="n">
        <f aca="false">E288*G288</f>
        <v>15833.4951143644</v>
      </c>
      <c r="I288" s="48" t="n">
        <f aca="false">IF(F288&lt;365,Assumptions!$G$21,IF(F288&lt;=730,Assumptions!$H$21,Assumptions!$I$21))</f>
        <v>0</v>
      </c>
      <c r="J288" s="40" t="n">
        <f aca="false">H288*I288</f>
        <v>0</v>
      </c>
      <c r="K288" s="40" t="n">
        <f aca="false">H288-J288</f>
        <v>15833.4951143644</v>
      </c>
      <c r="L288" s="40" t="n">
        <f aca="false">K288-C288</f>
        <v>10833.4951143644</v>
      </c>
      <c r="M288" s="38" t="str">
        <f aca="false">IF(F288&gt;365,"LTCG","STCG")</f>
        <v>LTCG</v>
      </c>
      <c r="N288" s="48" t="n">
        <f aca="false">IF(M288="LTCG",Assumptions!$C$12,Assumptions!$C$11)</f>
        <v>0.125</v>
      </c>
      <c r="O288" s="38" t="str">
        <f aca="false">IF(M288="STCG",MAX(L288,0)*Assumptions!$C$11,"agg. below")</f>
        <v>agg. below</v>
      </c>
    </row>
    <row r="289" customFormat="false" ht="15" hidden="false" customHeight="false" outlineLevel="1" collapsed="false">
      <c r="A289" s="33" t="str">
        <f aca="false">TEXT(SIP_Fund2_HDFCMidcap!B33,"mmm-yyyy")</f>
        <v>May-2027</v>
      </c>
      <c r="B289" s="34" t="n">
        <f aca="false">SIP_Fund2_HDFCMidcap!B33</f>
        <v>46508</v>
      </c>
      <c r="C289" s="35" t="n">
        <f aca="false">SIP_Fund2_HDFCMidcap!C33</f>
        <v>5000</v>
      </c>
      <c r="D289" s="36" t="n">
        <f aca="false">SIP_Fund2_HDFCMidcap!D33</f>
        <v>257.793372400107</v>
      </c>
      <c r="E289" s="37" t="n">
        <f aca="false">SIP_Fund2_HDFCMidcap!E33</f>
        <v>19.3953783739629</v>
      </c>
      <c r="F289" s="33" t="n">
        <f aca="false">Assumptions!$C$5-B289</f>
        <v>3181</v>
      </c>
      <c r="G289" s="36" t="n">
        <f aca="false">Assumptions!$D$21*(1+Assumptions!$F$21)^((Assumptions!$C$5-Assumptions!$C$4)/365)</f>
        <v>807.609511036577</v>
      </c>
      <c r="H289" s="35" t="n">
        <f aca="false">E289*G289</f>
        <v>15663.8920449656</v>
      </c>
      <c r="I289" s="47" t="n">
        <f aca="false">IF(F289&lt;365,Assumptions!$G$21,IF(F289&lt;=730,Assumptions!$H$21,Assumptions!$I$21))</f>
        <v>0</v>
      </c>
      <c r="J289" s="35" t="n">
        <f aca="false">H289*I289</f>
        <v>0</v>
      </c>
      <c r="K289" s="35" t="n">
        <f aca="false">H289-J289</f>
        <v>15663.8920449656</v>
      </c>
      <c r="L289" s="35" t="n">
        <f aca="false">K289-C289</f>
        <v>10663.8920449656</v>
      </c>
      <c r="M289" s="33" t="str">
        <f aca="false">IF(F289&gt;365,"LTCG","STCG")</f>
        <v>LTCG</v>
      </c>
      <c r="N289" s="47" t="n">
        <f aca="false">IF(M289="LTCG",Assumptions!$C$12,Assumptions!$C$11)</f>
        <v>0.125</v>
      </c>
      <c r="O289" s="33" t="str">
        <f aca="false">IF(M289="STCG",MAX(L289,0)*Assumptions!$C$11,"agg. below")</f>
        <v>agg. below</v>
      </c>
    </row>
    <row r="290" customFormat="false" ht="15" hidden="false" customHeight="false" outlineLevel="1" collapsed="false">
      <c r="A290" s="38" t="str">
        <f aca="false">TEXT(SIP_Fund2_HDFCMidcap!B34,"mmm-yyyy")</f>
        <v>Jun-2027</v>
      </c>
      <c r="B290" s="39" t="n">
        <f aca="false">SIP_Fund2_HDFCMidcap!B34</f>
        <v>46539</v>
      </c>
      <c r="C290" s="40" t="n">
        <f aca="false">SIP_Fund2_HDFCMidcap!C34</f>
        <v>5000</v>
      </c>
      <c r="D290" s="41" t="n">
        <f aca="false">SIP_Fund2_HDFCMidcap!D34</f>
        <v>260.678229513299</v>
      </c>
      <c r="E290" s="42" t="n">
        <f aca="false">SIP_Fund2_HDFCMidcap!E34</f>
        <v>19.1807348443914</v>
      </c>
      <c r="F290" s="38" t="n">
        <f aca="false">Assumptions!$C$5-B290</f>
        <v>3150</v>
      </c>
      <c r="G290" s="41" t="n">
        <f aca="false">Assumptions!$D$21*(1+Assumptions!$F$21)^((Assumptions!$C$5-Assumptions!$C$4)/365)</f>
        <v>807.609511036577</v>
      </c>
      <c r="H290" s="40" t="n">
        <f aca="false">E290*G290</f>
        <v>15490.5438890012</v>
      </c>
      <c r="I290" s="48" t="n">
        <f aca="false">IF(F290&lt;365,Assumptions!$G$21,IF(F290&lt;=730,Assumptions!$H$21,Assumptions!$I$21))</f>
        <v>0</v>
      </c>
      <c r="J290" s="40" t="n">
        <f aca="false">H290*I290</f>
        <v>0</v>
      </c>
      <c r="K290" s="40" t="n">
        <f aca="false">H290-J290</f>
        <v>15490.5438890012</v>
      </c>
      <c r="L290" s="40" t="n">
        <f aca="false">K290-C290</f>
        <v>10490.5438890012</v>
      </c>
      <c r="M290" s="38" t="str">
        <f aca="false">IF(F290&gt;365,"LTCG","STCG")</f>
        <v>LTCG</v>
      </c>
      <c r="N290" s="48" t="n">
        <f aca="false">IF(M290="LTCG",Assumptions!$C$12,Assumptions!$C$11)</f>
        <v>0.125</v>
      </c>
      <c r="O290" s="38" t="str">
        <f aca="false">IF(M290="STCG",MAX(L290,0)*Assumptions!$C$11,"agg. below")</f>
        <v>agg. below</v>
      </c>
    </row>
    <row r="291" customFormat="false" ht="15" hidden="false" customHeight="false" outlineLevel="1" collapsed="false">
      <c r="A291" s="33" t="str">
        <f aca="false">TEXT(SIP_Fund2_HDFCMidcap!B35,"mmm-yyyy")</f>
        <v>Jul-2027</v>
      </c>
      <c r="B291" s="34" t="n">
        <f aca="false">SIP_Fund2_HDFCMidcap!B35</f>
        <v>46569</v>
      </c>
      <c r="C291" s="35" t="n">
        <f aca="false">SIP_Fund2_HDFCMidcap!C35</f>
        <v>5000</v>
      </c>
      <c r="D291" s="36" t="n">
        <f aca="false">SIP_Fund2_HDFCMidcap!D35</f>
        <v>263.500760958485</v>
      </c>
      <c r="E291" s="37" t="n">
        <f aca="false">SIP_Fund2_HDFCMidcap!E35</f>
        <v>18.9752772698359</v>
      </c>
      <c r="F291" s="33" t="n">
        <f aca="false">Assumptions!$C$5-B291</f>
        <v>3120</v>
      </c>
      <c r="G291" s="36" t="n">
        <f aca="false">Assumptions!$D$21*(1+Assumptions!$F$21)^((Assumptions!$C$5-Assumptions!$C$4)/365)</f>
        <v>807.609511036577</v>
      </c>
      <c r="H291" s="35" t="n">
        <f aca="false">E291*G291</f>
        <v>15324.6143976756</v>
      </c>
      <c r="I291" s="47" t="n">
        <f aca="false">IF(F291&lt;365,Assumptions!$G$21,IF(F291&lt;=730,Assumptions!$H$21,Assumptions!$I$21))</f>
        <v>0</v>
      </c>
      <c r="J291" s="35" t="n">
        <f aca="false">H291*I291</f>
        <v>0</v>
      </c>
      <c r="K291" s="35" t="n">
        <f aca="false">H291-J291</f>
        <v>15324.6143976756</v>
      </c>
      <c r="L291" s="35" t="n">
        <f aca="false">K291-C291</f>
        <v>10324.6143976756</v>
      </c>
      <c r="M291" s="33" t="str">
        <f aca="false">IF(F291&gt;365,"LTCG","STCG")</f>
        <v>LTCG</v>
      </c>
      <c r="N291" s="47" t="n">
        <f aca="false">IF(M291="LTCG",Assumptions!$C$12,Assumptions!$C$11)</f>
        <v>0.125</v>
      </c>
      <c r="O291" s="33" t="str">
        <f aca="false">IF(M291="STCG",MAX(L291,0)*Assumptions!$C$11,"agg. below")</f>
        <v>agg. below</v>
      </c>
    </row>
    <row r="292" customFormat="false" ht="15" hidden="false" customHeight="false" outlineLevel="1" collapsed="false">
      <c r="A292" s="38" t="str">
        <f aca="false">TEXT(SIP_Fund2_HDFCMidcap!B36,"mmm-yyyy")</f>
        <v>Aug-2027</v>
      </c>
      <c r="B292" s="39" t="n">
        <f aca="false">SIP_Fund2_HDFCMidcap!B36</f>
        <v>46600</v>
      </c>
      <c r="C292" s="40" t="n">
        <f aca="false">SIP_Fund2_HDFCMidcap!C36</f>
        <v>5000</v>
      </c>
      <c r="D292" s="41" t="n">
        <f aca="false">SIP_Fund2_HDFCMidcap!D36</f>
        <v>266.449487054526</v>
      </c>
      <c r="E292" s="42" t="n">
        <f aca="false">SIP_Fund2_HDFCMidcap!E36</f>
        <v>18.7652828882226</v>
      </c>
      <c r="F292" s="38" t="n">
        <f aca="false">Assumptions!$C$5-B292</f>
        <v>3089</v>
      </c>
      <c r="G292" s="41" t="n">
        <f aca="false">Assumptions!$D$21*(1+Assumptions!$F$21)^((Assumptions!$C$5-Assumptions!$C$4)/365)</f>
        <v>807.609511036577</v>
      </c>
      <c r="H292" s="40" t="n">
        <f aca="false">E292*G292</f>
        <v>15155.0209378205</v>
      </c>
      <c r="I292" s="48" t="n">
        <f aca="false">IF(F292&lt;365,Assumptions!$G$21,IF(F292&lt;=730,Assumptions!$H$21,Assumptions!$I$21))</f>
        <v>0</v>
      </c>
      <c r="J292" s="40" t="n">
        <f aca="false">H292*I292</f>
        <v>0</v>
      </c>
      <c r="K292" s="40" t="n">
        <f aca="false">H292-J292</f>
        <v>15155.0209378205</v>
      </c>
      <c r="L292" s="40" t="n">
        <f aca="false">K292-C292</f>
        <v>10155.0209378205</v>
      </c>
      <c r="M292" s="38" t="str">
        <f aca="false">IF(F292&gt;365,"LTCG","STCG")</f>
        <v>LTCG</v>
      </c>
      <c r="N292" s="48" t="n">
        <f aca="false">IF(M292="LTCG",Assumptions!$C$12,Assumptions!$C$11)</f>
        <v>0.125</v>
      </c>
      <c r="O292" s="38" t="str">
        <f aca="false">IF(M292="STCG",MAX(L292,0)*Assumptions!$C$11,"agg. below")</f>
        <v>agg. below</v>
      </c>
    </row>
    <row r="293" customFormat="false" ht="15" hidden="false" customHeight="false" outlineLevel="1" collapsed="false">
      <c r="A293" s="33" t="str">
        <f aca="false">TEXT(SIP_Fund2_HDFCMidcap!B37,"mmm-yyyy")</f>
        <v>Sep-2027</v>
      </c>
      <c r="B293" s="34" t="n">
        <f aca="false">SIP_Fund2_HDFCMidcap!B37</f>
        <v>46631</v>
      </c>
      <c r="C293" s="35" t="n">
        <f aca="false">SIP_Fund2_HDFCMidcap!C37</f>
        <v>5000</v>
      </c>
      <c r="D293" s="36" t="n">
        <f aca="false">SIP_Fund2_HDFCMidcap!D37</f>
        <v>269.431211103051</v>
      </c>
      <c r="E293" s="37" t="n">
        <f aca="false">SIP_Fund2_HDFCMidcap!E37</f>
        <v>18.557612458965</v>
      </c>
      <c r="F293" s="33" t="n">
        <f aca="false">Assumptions!$C$5-B293</f>
        <v>3058</v>
      </c>
      <c r="G293" s="36" t="n">
        <f aca="false">Assumptions!$D$21*(1+Assumptions!$F$21)^((Assumptions!$C$5-Assumptions!$C$4)/365)</f>
        <v>807.609511036577</v>
      </c>
      <c r="H293" s="35" t="n">
        <f aca="false">E293*G293</f>
        <v>14987.304323991</v>
      </c>
      <c r="I293" s="47" t="n">
        <f aca="false">IF(F293&lt;365,Assumptions!$G$21,IF(F293&lt;=730,Assumptions!$H$21,Assumptions!$I$21))</f>
        <v>0</v>
      </c>
      <c r="J293" s="35" t="n">
        <f aca="false">H293*I293</f>
        <v>0</v>
      </c>
      <c r="K293" s="35" t="n">
        <f aca="false">H293-J293</f>
        <v>14987.304323991</v>
      </c>
      <c r="L293" s="35" t="n">
        <f aca="false">K293-C293</f>
        <v>9987.304323991</v>
      </c>
      <c r="M293" s="33" t="str">
        <f aca="false">IF(F293&gt;365,"LTCG","STCG")</f>
        <v>LTCG</v>
      </c>
      <c r="N293" s="47" t="n">
        <f aca="false">IF(M293="LTCG",Assumptions!$C$12,Assumptions!$C$11)</f>
        <v>0.125</v>
      </c>
      <c r="O293" s="33" t="str">
        <f aca="false">IF(M293="STCG",MAX(L293,0)*Assumptions!$C$11,"agg. below")</f>
        <v>agg. below</v>
      </c>
    </row>
    <row r="294" customFormat="false" ht="15" hidden="false" customHeight="false" outlineLevel="1" collapsed="false">
      <c r="A294" s="38" t="str">
        <f aca="false">TEXT(SIP_Fund2_HDFCMidcap!B38,"mmm-yyyy")</f>
        <v>Oct-2027</v>
      </c>
      <c r="B294" s="39" t="n">
        <f aca="false">SIP_Fund2_HDFCMidcap!B38</f>
        <v>46661</v>
      </c>
      <c r="C294" s="40" t="n">
        <f aca="false">SIP_Fund2_HDFCMidcap!C38</f>
        <v>5000</v>
      </c>
      <c r="D294" s="41" t="n">
        <f aca="false">SIP_Fund2_HDFCMidcap!D38</f>
        <v>272.348516729504</v>
      </c>
      <c r="E294" s="42" t="n">
        <f aca="false">SIP_Fund2_HDFCMidcap!E38</f>
        <v>18.3588295616311</v>
      </c>
      <c r="F294" s="38" t="n">
        <f aca="false">Assumptions!$C$5-B294</f>
        <v>3028</v>
      </c>
      <c r="G294" s="41" t="n">
        <f aca="false">Assumptions!$D$21*(1+Assumptions!$F$21)^((Assumptions!$C$5-Assumptions!$C$4)/365)</f>
        <v>807.609511036577</v>
      </c>
      <c r="H294" s="40" t="n">
        <f aca="false">E294*G294</f>
        <v>14826.7653654728</v>
      </c>
      <c r="I294" s="48" t="n">
        <f aca="false">IF(F294&lt;365,Assumptions!$G$21,IF(F294&lt;=730,Assumptions!$H$21,Assumptions!$I$21))</f>
        <v>0</v>
      </c>
      <c r="J294" s="40" t="n">
        <f aca="false">H294*I294</f>
        <v>0</v>
      </c>
      <c r="K294" s="40" t="n">
        <f aca="false">H294-J294</f>
        <v>14826.7653654728</v>
      </c>
      <c r="L294" s="40" t="n">
        <f aca="false">K294-C294</f>
        <v>9826.76536547275</v>
      </c>
      <c r="M294" s="38" t="str">
        <f aca="false">IF(F294&gt;365,"LTCG","STCG")</f>
        <v>LTCG</v>
      </c>
      <c r="N294" s="48" t="n">
        <f aca="false">IF(M294="LTCG",Assumptions!$C$12,Assumptions!$C$11)</f>
        <v>0.125</v>
      </c>
      <c r="O294" s="38" t="str">
        <f aca="false">IF(M294="STCG",MAX(L294,0)*Assumptions!$C$11,"agg. below")</f>
        <v>agg. below</v>
      </c>
    </row>
    <row r="295" customFormat="false" ht="15" hidden="false" customHeight="false" outlineLevel="1" collapsed="false">
      <c r="A295" s="33" t="str">
        <f aca="false">TEXT(SIP_Fund2_HDFCMidcap!B39,"mmm-yyyy")</f>
        <v>Nov-2027</v>
      </c>
      <c r="B295" s="34" t="n">
        <f aca="false">SIP_Fund2_HDFCMidcap!B39</f>
        <v>46692</v>
      </c>
      <c r="C295" s="35" t="n">
        <f aca="false">SIP_Fund2_HDFCMidcap!C39</f>
        <v>5000</v>
      </c>
      <c r="D295" s="36" t="n">
        <f aca="false">SIP_Fund2_HDFCMidcap!D39</f>
        <v>275.396254335943</v>
      </c>
      <c r="E295" s="37" t="n">
        <f aca="false">SIP_Fund2_HDFCMidcap!E39</f>
        <v>18.1556572439825</v>
      </c>
      <c r="F295" s="33" t="n">
        <f aca="false">Assumptions!$C$5-B295</f>
        <v>2997</v>
      </c>
      <c r="G295" s="36" t="n">
        <f aca="false">Assumptions!$D$21*(1+Assumptions!$F$21)^((Assumptions!$C$5-Assumptions!$C$4)/365)</f>
        <v>807.609511036577</v>
      </c>
      <c r="H295" s="35" t="n">
        <f aca="false">E295*G295</f>
        <v>14662.6814693604</v>
      </c>
      <c r="I295" s="47" t="n">
        <f aca="false">IF(F295&lt;365,Assumptions!$G$21,IF(F295&lt;=730,Assumptions!$H$21,Assumptions!$I$21))</f>
        <v>0</v>
      </c>
      <c r="J295" s="35" t="n">
        <f aca="false">H295*I295</f>
        <v>0</v>
      </c>
      <c r="K295" s="35" t="n">
        <f aca="false">H295-J295</f>
        <v>14662.6814693604</v>
      </c>
      <c r="L295" s="35" t="n">
        <f aca="false">K295-C295</f>
        <v>9662.6814693604</v>
      </c>
      <c r="M295" s="33" t="str">
        <f aca="false">IF(F295&gt;365,"LTCG","STCG")</f>
        <v>LTCG</v>
      </c>
      <c r="N295" s="47" t="n">
        <f aca="false">IF(M295="LTCG",Assumptions!$C$12,Assumptions!$C$11)</f>
        <v>0.125</v>
      </c>
      <c r="O295" s="33" t="str">
        <f aca="false">IF(M295="STCG",MAX(L295,0)*Assumptions!$C$11,"agg. below")</f>
        <v>agg. below</v>
      </c>
    </row>
    <row r="296" customFormat="false" ht="15" hidden="false" customHeight="false" outlineLevel="1" collapsed="false">
      <c r="A296" s="38" t="str">
        <f aca="false">TEXT(SIP_Fund2_HDFCMidcap!B40,"mmm-yyyy")</f>
        <v>Dec-2027</v>
      </c>
      <c r="B296" s="39" t="n">
        <f aca="false">SIP_Fund2_HDFCMidcap!B40</f>
        <v>46722</v>
      </c>
      <c r="C296" s="40" t="n">
        <f aca="false">SIP_Fund2_HDFCMidcap!C40</f>
        <v>5000</v>
      </c>
      <c r="D296" s="41" t="n">
        <f aca="false">SIP_Fund2_HDFCMidcap!D40</f>
        <v>278.378147335603</v>
      </c>
      <c r="E296" s="42" t="n">
        <f aca="false">SIP_Fund2_HDFCMidcap!E40</f>
        <v>17.9611799555953</v>
      </c>
      <c r="F296" s="38" t="n">
        <f aca="false">Assumptions!$C$5-B296</f>
        <v>2967</v>
      </c>
      <c r="G296" s="41" t="n">
        <f aca="false">Assumptions!$D$21*(1+Assumptions!$F$21)^((Assumptions!$C$5-Assumptions!$C$4)/365)</f>
        <v>807.609511036577</v>
      </c>
      <c r="H296" s="40" t="n">
        <f aca="false">E296*G296</f>
        <v>14505.6197615783</v>
      </c>
      <c r="I296" s="48" t="n">
        <f aca="false">IF(F296&lt;365,Assumptions!$G$21,IF(F296&lt;=730,Assumptions!$H$21,Assumptions!$I$21))</f>
        <v>0</v>
      </c>
      <c r="J296" s="40" t="n">
        <f aca="false">H296*I296</f>
        <v>0</v>
      </c>
      <c r="K296" s="40" t="n">
        <f aca="false">H296-J296</f>
        <v>14505.6197615783</v>
      </c>
      <c r="L296" s="40" t="n">
        <f aca="false">K296-C296</f>
        <v>9505.61976157831</v>
      </c>
      <c r="M296" s="38" t="str">
        <f aca="false">IF(F296&gt;365,"LTCG","STCG")</f>
        <v>LTCG</v>
      </c>
      <c r="N296" s="48" t="n">
        <f aca="false">IF(M296="LTCG",Assumptions!$C$12,Assumptions!$C$11)</f>
        <v>0.125</v>
      </c>
      <c r="O296" s="38" t="str">
        <f aca="false">IF(M296="STCG",MAX(L296,0)*Assumptions!$C$11,"agg. below")</f>
        <v>agg. below</v>
      </c>
    </row>
    <row r="297" customFormat="false" ht="15" hidden="false" customHeight="false" outlineLevel="1" collapsed="false">
      <c r="A297" s="33" t="str">
        <f aca="false">TEXT(SIP_Fund2_HDFCMidcap!B41,"mmm-yyyy")</f>
        <v>Jan-2028</v>
      </c>
      <c r="B297" s="34" t="n">
        <f aca="false">SIP_Fund2_HDFCMidcap!B41</f>
        <v>46753</v>
      </c>
      <c r="C297" s="35" t="n">
        <f aca="false">SIP_Fund2_HDFCMidcap!C41</f>
        <v>6000</v>
      </c>
      <c r="D297" s="36" t="n">
        <f aca="false">SIP_Fund2_HDFCMidcap!D41</f>
        <v>281.49336</v>
      </c>
      <c r="E297" s="37" t="n">
        <f aca="false">SIP_Fund2_HDFCMidcap!E41</f>
        <v>21.3148899853268</v>
      </c>
      <c r="F297" s="33" t="n">
        <f aca="false">Assumptions!$C$5-B297</f>
        <v>2936</v>
      </c>
      <c r="G297" s="36" t="n">
        <f aca="false">Assumptions!$D$21*(1+Assumptions!$F$21)^((Assumptions!$C$5-Assumptions!$C$4)/365)</f>
        <v>807.609511036577</v>
      </c>
      <c r="H297" s="35" t="n">
        <f aca="false">E297*G297</f>
        <v>17214.1078788482</v>
      </c>
      <c r="I297" s="47" t="n">
        <f aca="false">IF(F297&lt;365,Assumptions!$G$21,IF(F297&lt;=730,Assumptions!$H$21,Assumptions!$I$21))</f>
        <v>0</v>
      </c>
      <c r="J297" s="35" t="n">
        <f aca="false">H297*I297</f>
        <v>0</v>
      </c>
      <c r="K297" s="35" t="n">
        <f aca="false">H297-J297</f>
        <v>17214.1078788482</v>
      </c>
      <c r="L297" s="35" t="n">
        <f aca="false">K297-C297</f>
        <v>11214.1078788482</v>
      </c>
      <c r="M297" s="33" t="str">
        <f aca="false">IF(F297&gt;365,"LTCG","STCG")</f>
        <v>LTCG</v>
      </c>
      <c r="N297" s="47" t="n">
        <f aca="false">IF(M297="LTCG",Assumptions!$C$12,Assumptions!$C$11)</f>
        <v>0.125</v>
      </c>
      <c r="O297" s="33" t="str">
        <f aca="false">IF(M297="STCG",MAX(L297,0)*Assumptions!$C$11,"agg. below")</f>
        <v>agg. below</v>
      </c>
    </row>
    <row r="298" customFormat="false" ht="15" hidden="false" customHeight="false" outlineLevel="1" collapsed="false">
      <c r="A298" s="38" t="str">
        <f aca="false">TEXT(SIP_Fund2_HDFCMidcap!B42,"mmm-yyyy")</f>
        <v>Feb-2028</v>
      </c>
      <c r="B298" s="39" t="n">
        <f aca="false">SIP_Fund2_HDFCMidcap!B42</f>
        <v>46784</v>
      </c>
      <c r="C298" s="40" t="n">
        <f aca="false">SIP_Fund2_HDFCMidcap!C42</f>
        <v>6000</v>
      </c>
      <c r="D298" s="41" t="n">
        <f aca="false">SIP_Fund2_HDFCMidcap!D42</f>
        <v>284.643433697985</v>
      </c>
      <c r="E298" s="42" t="n">
        <f aca="false">SIP_Fund2_HDFCMidcap!E42</f>
        <v>21.0790037277522</v>
      </c>
      <c r="F298" s="38" t="n">
        <f aca="false">Assumptions!$C$5-B298</f>
        <v>2905</v>
      </c>
      <c r="G298" s="41" t="n">
        <f aca="false">Assumptions!$D$21*(1+Assumptions!$F$21)^((Assumptions!$C$5-Assumptions!$C$4)/365)</f>
        <v>807.609511036577</v>
      </c>
      <c r="H298" s="40" t="n">
        <f aca="false">E298*G298</f>
        <v>17023.6038937081</v>
      </c>
      <c r="I298" s="48" t="n">
        <f aca="false">IF(F298&lt;365,Assumptions!$G$21,IF(F298&lt;=730,Assumptions!$H$21,Assumptions!$I$21))</f>
        <v>0</v>
      </c>
      <c r="J298" s="40" t="n">
        <f aca="false">H298*I298</f>
        <v>0</v>
      </c>
      <c r="K298" s="40" t="n">
        <f aca="false">H298-J298</f>
        <v>17023.6038937081</v>
      </c>
      <c r="L298" s="40" t="n">
        <f aca="false">K298-C298</f>
        <v>11023.6038937081</v>
      </c>
      <c r="M298" s="38" t="str">
        <f aca="false">IF(F298&gt;365,"LTCG","STCG")</f>
        <v>LTCG</v>
      </c>
      <c r="N298" s="48" t="n">
        <f aca="false">IF(M298="LTCG",Assumptions!$C$12,Assumptions!$C$11)</f>
        <v>0.125</v>
      </c>
      <c r="O298" s="38" t="str">
        <f aca="false">IF(M298="STCG",MAX(L298,0)*Assumptions!$C$11,"agg. below")</f>
        <v>agg. below</v>
      </c>
    </row>
    <row r="299" customFormat="false" ht="15" hidden="false" customHeight="false" outlineLevel="1" collapsed="false">
      <c r="A299" s="33" t="str">
        <f aca="false">TEXT(SIP_Fund2_HDFCMidcap!B43,"mmm-yyyy")</f>
        <v>Mar-2028</v>
      </c>
      <c r="B299" s="34" t="n">
        <f aca="false">SIP_Fund2_HDFCMidcap!B43</f>
        <v>46813</v>
      </c>
      <c r="C299" s="35" t="n">
        <f aca="false">SIP_Fund2_HDFCMidcap!C43</f>
        <v>6000</v>
      </c>
      <c r="D299" s="36" t="n">
        <f aca="false">SIP_Fund2_HDFCMidcap!D43</f>
        <v>287.622182288166</v>
      </c>
      <c r="E299" s="37" t="n">
        <f aca="false">SIP_Fund2_HDFCMidcap!E43</f>
        <v>20.8606997981424</v>
      </c>
      <c r="F299" s="33" t="n">
        <f aca="false">Assumptions!$C$5-B299</f>
        <v>2876</v>
      </c>
      <c r="G299" s="36" t="n">
        <f aca="false">Assumptions!$D$21*(1+Assumptions!$F$21)^((Assumptions!$C$5-Assumptions!$C$4)/365)</f>
        <v>807.609511036577</v>
      </c>
      <c r="H299" s="35" t="n">
        <f aca="false">E299*G299</f>
        <v>16847.2995638586</v>
      </c>
      <c r="I299" s="47" t="n">
        <f aca="false">IF(F299&lt;365,Assumptions!$G$21,IF(F299&lt;=730,Assumptions!$H$21,Assumptions!$I$21))</f>
        <v>0</v>
      </c>
      <c r="J299" s="35" t="n">
        <f aca="false">H299*I299</f>
        <v>0</v>
      </c>
      <c r="K299" s="35" t="n">
        <f aca="false">H299-J299</f>
        <v>16847.2995638586</v>
      </c>
      <c r="L299" s="35" t="n">
        <f aca="false">K299-C299</f>
        <v>10847.2995638586</v>
      </c>
      <c r="M299" s="33" t="str">
        <f aca="false">IF(F299&gt;365,"LTCG","STCG")</f>
        <v>LTCG</v>
      </c>
      <c r="N299" s="47" t="n">
        <f aca="false">IF(M299="LTCG",Assumptions!$C$12,Assumptions!$C$11)</f>
        <v>0.125</v>
      </c>
      <c r="O299" s="33" t="str">
        <f aca="false">IF(M299="STCG",MAX(L299,0)*Assumptions!$C$11,"agg. below")</f>
        <v>agg. below</v>
      </c>
    </row>
    <row r="300" customFormat="false" ht="15" hidden="false" customHeight="false" outlineLevel="1" collapsed="false">
      <c r="A300" s="38" t="str">
        <f aca="false">TEXT(SIP_Fund2_HDFCMidcap!B44,"mmm-yyyy")</f>
        <v>Apr-2028</v>
      </c>
      <c r="B300" s="39" t="n">
        <f aca="false">SIP_Fund2_HDFCMidcap!B44</f>
        <v>46844</v>
      </c>
      <c r="C300" s="40" t="n">
        <f aca="false">SIP_Fund2_HDFCMidcap!C44</f>
        <v>6000</v>
      </c>
      <c r="D300" s="41" t="n">
        <f aca="false">SIP_Fund2_HDFCMidcap!D44</f>
        <v>290.840841056468</v>
      </c>
      <c r="E300" s="42" t="n">
        <f aca="false">SIP_Fund2_HDFCMidcap!E44</f>
        <v>20.6298399434042</v>
      </c>
      <c r="F300" s="38" t="n">
        <f aca="false">Assumptions!$C$5-B300</f>
        <v>2845</v>
      </c>
      <c r="G300" s="41" t="n">
        <f aca="false">Assumptions!$D$21*(1+Assumptions!$F$21)^((Assumptions!$C$5-Assumptions!$C$4)/365)</f>
        <v>807.609511036577</v>
      </c>
      <c r="H300" s="40" t="n">
        <f aca="false">E300*G300</f>
        <v>16660.8549494555</v>
      </c>
      <c r="I300" s="48" t="n">
        <f aca="false">IF(F300&lt;365,Assumptions!$G$21,IF(F300&lt;=730,Assumptions!$H$21,Assumptions!$I$21))</f>
        <v>0</v>
      </c>
      <c r="J300" s="40" t="n">
        <f aca="false">H300*I300</f>
        <v>0</v>
      </c>
      <c r="K300" s="40" t="n">
        <f aca="false">H300-J300</f>
        <v>16660.8549494555</v>
      </c>
      <c r="L300" s="40" t="n">
        <f aca="false">K300-C300</f>
        <v>10660.8549494555</v>
      </c>
      <c r="M300" s="38" t="str">
        <f aca="false">IF(F300&gt;365,"LTCG","STCG")</f>
        <v>LTCG</v>
      </c>
      <c r="N300" s="48" t="n">
        <f aca="false">IF(M300="LTCG",Assumptions!$C$12,Assumptions!$C$11)</f>
        <v>0.125</v>
      </c>
      <c r="O300" s="38" t="str">
        <f aca="false">IF(M300="STCG",MAX(L300,0)*Assumptions!$C$11,"agg. below")</f>
        <v>agg. below</v>
      </c>
    </row>
    <row r="301" customFormat="false" ht="15" hidden="false" customHeight="false" outlineLevel="1" collapsed="false">
      <c r="A301" s="33" t="str">
        <f aca="false">TEXT(SIP_Fund2_HDFCMidcap!B45,"mmm-yyyy")</f>
        <v>May-2028</v>
      </c>
      <c r="B301" s="34" t="n">
        <f aca="false">SIP_Fund2_HDFCMidcap!B45</f>
        <v>46874</v>
      </c>
      <c r="C301" s="35" t="n">
        <f aca="false">SIP_Fund2_HDFCMidcap!C45</f>
        <v>6000</v>
      </c>
      <c r="D301" s="36" t="n">
        <f aca="false">SIP_Fund2_HDFCMidcap!D45</f>
        <v>293.98996256523</v>
      </c>
      <c r="E301" s="37" t="n">
        <f aca="false">SIP_Fund2_HDFCMidcap!E45</f>
        <v>20.408860042862</v>
      </c>
      <c r="F301" s="33" t="n">
        <f aca="false">Assumptions!$C$5-B301</f>
        <v>2815</v>
      </c>
      <c r="G301" s="36" t="n">
        <f aca="false">Assumptions!$D$21*(1+Assumptions!$F$21)^((Assumptions!$C$5-Assumptions!$C$4)/365)</f>
        <v>807.609511036577</v>
      </c>
      <c r="H301" s="35" t="n">
        <f aca="false">E301*G301</f>
        <v>16482.3894800297</v>
      </c>
      <c r="I301" s="47" t="n">
        <f aca="false">IF(F301&lt;365,Assumptions!$G$21,IF(F301&lt;=730,Assumptions!$H$21,Assumptions!$I$21))</f>
        <v>0</v>
      </c>
      <c r="J301" s="35" t="n">
        <f aca="false">H301*I301</f>
        <v>0</v>
      </c>
      <c r="K301" s="35" t="n">
        <f aca="false">H301-J301</f>
        <v>16482.3894800297</v>
      </c>
      <c r="L301" s="35" t="n">
        <f aca="false">K301-C301</f>
        <v>10482.3894800297</v>
      </c>
      <c r="M301" s="33" t="str">
        <f aca="false">IF(F301&gt;365,"LTCG","STCG")</f>
        <v>LTCG</v>
      </c>
      <c r="N301" s="47" t="n">
        <f aca="false">IF(M301="LTCG",Assumptions!$C$12,Assumptions!$C$11)</f>
        <v>0.125</v>
      </c>
      <c r="O301" s="33" t="str">
        <f aca="false">IF(M301="STCG",MAX(L301,0)*Assumptions!$C$11,"agg. below")</f>
        <v>agg. below</v>
      </c>
    </row>
    <row r="302" customFormat="false" ht="15" hidden="false" customHeight="false" outlineLevel="1" collapsed="false">
      <c r="A302" s="38" t="str">
        <f aca="false">TEXT(SIP_Fund2_HDFCMidcap!B46,"mmm-yyyy")</f>
        <v>Jun-2028</v>
      </c>
      <c r="B302" s="39" t="n">
        <f aca="false">SIP_Fund2_HDFCMidcap!B46</f>
        <v>46905</v>
      </c>
      <c r="C302" s="40" t="n">
        <f aca="false">SIP_Fund2_HDFCMidcap!C46</f>
        <v>6000</v>
      </c>
      <c r="D302" s="41" t="n">
        <f aca="false">SIP_Fund2_HDFCMidcap!D46</f>
        <v>297.279880482115</v>
      </c>
      <c r="E302" s="42" t="n">
        <f aca="false">SIP_Fund2_HDFCMidcap!E46</f>
        <v>20.1830005793513</v>
      </c>
      <c r="F302" s="38" t="n">
        <f aca="false">Assumptions!$C$5-B302</f>
        <v>2784</v>
      </c>
      <c r="G302" s="41" t="n">
        <f aca="false">Assumptions!$D$21*(1+Assumptions!$F$21)^((Assumptions!$C$5-Assumptions!$C$4)/365)</f>
        <v>807.609511036577</v>
      </c>
      <c r="H302" s="40" t="n">
        <f aca="false">E302*G302</f>
        <v>16299.9832291408</v>
      </c>
      <c r="I302" s="48" t="n">
        <f aca="false">IF(F302&lt;365,Assumptions!$G$21,IF(F302&lt;=730,Assumptions!$H$21,Assumptions!$I$21))</f>
        <v>0</v>
      </c>
      <c r="J302" s="40" t="n">
        <f aca="false">H302*I302</f>
        <v>0</v>
      </c>
      <c r="K302" s="40" t="n">
        <f aca="false">H302-J302</f>
        <v>16299.9832291408</v>
      </c>
      <c r="L302" s="40" t="n">
        <f aca="false">K302-C302</f>
        <v>10299.9832291408</v>
      </c>
      <c r="M302" s="38" t="str">
        <f aca="false">IF(F302&gt;365,"LTCG","STCG")</f>
        <v>LTCG</v>
      </c>
      <c r="N302" s="48" t="n">
        <f aca="false">IF(M302="LTCG",Assumptions!$C$12,Assumptions!$C$11)</f>
        <v>0.125</v>
      </c>
      <c r="O302" s="38" t="str">
        <f aca="false">IF(M302="STCG",MAX(L302,0)*Assumptions!$C$11,"agg. below")</f>
        <v>agg. below</v>
      </c>
    </row>
    <row r="303" customFormat="false" ht="15" hidden="false" customHeight="false" outlineLevel="1" collapsed="false">
      <c r="A303" s="33" t="str">
        <f aca="false">TEXT(SIP_Fund2_HDFCMidcap!B47,"mmm-yyyy")</f>
        <v>Jul-2028</v>
      </c>
      <c r="B303" s="34" t="n">
        <f aca="false">SIP_Fund2_HDFCMidcap!B47</f>
        <v>46935</v>
      </c>
      <c r="C303" s="35" t="n">
        <f aca="false">SIP_Fund2_HDFCMidcap!C47</f>
        <v>6000</v>
      </c>
      <c r="D303" s="36" t="n">
        <f aca="false">SIP_Fund2_HDFCMidcap!D47</f>
        <v>300.498721626804</v>
      </c>
      <c r="E303" s="37" t="n">
        <f aca="false">SIP_Fund2_HDFCMidcap!E47</f>
        <v>19.9668070716505</v>
      </c>
      <c r="F303" s="33" t="n">
        <f aca="false">Assumptions!$C$5-B303</f>
        <v>2754</v>
      </c>
      <c r="G303" s="36" t="n">
        <f aca="false">Assumptions!$D$21*(1+Assumptions!$F$21)^((Assumptions!$C$5-Assumptions!$C$4)/365)</f>
        <v>807.609511036577</v>
      </c>
      <c r="H303" s="35" t="n">
        <f aca="false">E303*G303</f>
        <v>16125.3832960973</v>
      </c>
      <c r="I303" s="47" t="n">
        <f aca="false">IF(F303&lt;365,Assumptions!$G$21,IF(F303&lt;=730,Assumptions!$H$21,Assumptions!$I$21))</f>
        <v>0</v>
      </c>
      <c r="J303" s="35" t="n">
        <f aca="false">H303*I303</f>
        <v>0</v>
      </c>
      <c r="K303" s="35" t="n">
        <f aca="false">H303-J303</f>
        <v>16125.3832960973</v>
      </c>
      <c r="L303" s="35" t="n">
        <f aca="false">K303-C303</f>
        <v>10125.3832960973</v>
      </c>
      <c r="M303" s="33" t="str">
        <f aca="false">IF(F303&gt;365,"LTCG","STCG")</f>
        <v>LTCG</v>
      </c>
      <c r="N303" s="47" t="n">
        <f aca="false">IF(M303="LTCG",Assumptions!$C$12,Assumptions!$C$11)</f>
        <v>0.125</v>
      </c>
      <c r="O303" s="33" t="str">
        <f aca="false">IF(M303="STCG",MAX(L303,0)*Assumptions!$C$11,"agg. below")</f>
        <v>agg. below</v>
      </c>
    </row>
    <row r="304" customFormat="false" ht="15" hidden="false" customHeight="false" outlineLevel="1" collapsed="false">
      <c r="A304" s="38" t="str">
        <f aca="false">TEXT(SIP_Fund2_HDFCMidcap!B48,"mmm-yyyy")</f>
        <v>Aug-2028</v>
      </c>
      <c r="B304" s="39" t="n">
        <f aca="false">SIP_Fund2_HDFCMidcap!B48</f>
        <v>46966</v>
      </c>
      <c r="C304" s="40" t="n">
        <f aca="false">SIP_Fund2_HDFCMidcap!C48</f>
        <v>6000</v>
      </c>
      <c r="D304" s="41" t="n">
        <f aca="false">SIP_Fund2_HDFCMidcap!D48</f>
        <v>303.861476326504</v>
      </c>
      <c r="E304" s="42" t="n">
        <f aca="false">SIP_Fund2_HDFCMidcap!E48</f>
        <v>19.745839691613</v>
      </c>
      <c r="F304" s="38" t="n">
        <f aca="false">Assumptions!$C$5-B304</f>
        <v>2723</v>
      </c>
      <c r="G304" s="41" t="n">
        <f aca="false">Assumptions!$D$21*(1+Assumptions!$F$21)^((Assumptions!$C$5-Assumptions!$C$4)/365)</f>
        <v>807.609511036577</v>
      </c>
      <c r="H304" s="40" t="n">
        <f aca="false">E304*G304</f>
        <v>15946.9279383502</v>
      </c>
      <c r="I304" s="48" t="n">
        <f aca="false">IF(F304&lt;365,Assumptions!$G$21,IF(F304&lt;=730,Assumptions!$H$21,Assumptions!$I$21))</f>
        <v>0</v>
      </c>
      <c r="J304" s="40" t="n">
        <f aca="false">H304*I304</f>
        <v>0</v>
      </c>
      <c r="K304" s="40" t="n">
        <f aca="false">H304-J304</f>
        <v>15946.9279383502</v>
      </c>
      <c r="L304" s="40" t="n">
        <f aca="false">K304-C304</f>
        <v>9946.92793835018</v>
      </c>
      <c r="M304" s="38" t="str">
        <f aca="false">IF(F304&gt;365,"LTCG","STCG")</f>
        <v>LTCG</v>
      </c>
      <c r="N304" s="48" t="n">
        <f aca="false">IF(M304="LTCG",Assumptions!$C$12,Assumptions!$C$11)</f>
        <v>0.125</v>
      </c>
      <c r="O304" s="38" t="str">
        <f aca="false">IF(M304="STCG",MAX(L304,0)*Assumptions!$C$11,"agg. below")</f>
        <v>agg. below</v>
      </c>
    </row>
    <row r="305" customFormat="false" ht="15" hidden="false" customHeight="false" outlineLevel="1" collapsed="false">
      <c r="A305" s="33" t="str">
        <f aca="false">TEXT(SIP_Fund2_HDFCMidcap!B49,"mmm-yyyy")</f>
        <v>Sep-2028</v>
      </c>
      <c r="B305" s="34" t="n">
        <f aca="false">SIP_Fund2_HDFCMidcap!B49</f>
        <v>46997</v>
      </c>
      <c r="C305" s="35" t="n">
        <f aca="false">SIP_Fund2_HDFCMidcap!C49</f>
        <v>6000</v>
      </c>
      <c r="D305" s="36" t="n">
        <f aca="false">SIP_Fund2_HDFCMidcap!D49</f>
        <v>307.261862198508</v>
      </c>
      <c r="E305" s="37" t="n">
        <f aca="false">SIP_Fund2_HDFCMidcap!E49</f>
        <v>19.5273176992062</v>
      </c>
      <c r="F305" s="33" t="n">
        <f aca="false">Assumptions!$C$5-B305</f>
        <v>2692</v>
      </c>
      <c r="G305" s="36" t="n">
        <f aca="false">Assumptions!$D$21*(1+Assumptions!$F$21)^((Assumptions!$C$5-Assumptions!$C$4)/365)</f>
        <v>807.609511036577</v>
      </c>
      <c r="H305" s="35" t="n">
        <f aca="false">E305*G305</f>
        <v>15770.4474989119</v>
      </c>
      <c r="I305" s="47" t="n">
        <f aca="false">IF(F305&lt;365,Assumptions!$G$21,IF(F305&lt;=730,Assumptions!$H$21,Assumptions!$I$21))</f>
        <v>0</v>
      </c>
      <c r="J305" s="35" t="n">
        <f aca="false">H305*I305</f>
        <v>0</v>
      </c>
      <c r="K305" s="35" t="n">
        <f aca="false">H305-J305</f>
        <v>15770.4474989119</v>
      </c>
      <c r="L305" s="35" t="n">
        <f aca="false">K305-C305</f>
        <v>9770.44749891186</v>
      </c>
      <c r="M305" s="33" t="str">
        <f aca="false">IF(F305&gt;365,"LTCG","STCG")</f>
        <v>LTCG</v>
      </c>
      <c r="N305" s="47" t="n">
        <f aca="false">IF(M305="LTCG",Assumptions!$C$12,Assumptions!$C$11)</f>
        <v>0.125</v>
      </c>
      <c r="O305" s="33" t="str">
        <f aca="false">IF(M305="STCG",MAX(L305,0)*Assumptions!$C$11,"agg. below")</f>
        <v>agg. below</v>
      </c>
    </row>
    <row r="306" customFormat="false" ht="15" hidden="false" customHeight="false" outlineLevel="1" collapsed="false">
      <c r="A306" s="38" t="str">
        <f aca="false">TEXT(SIP_Fund2_HDFCMidcap!B50,"mmm-yyyy")</f>
        <v>Oct-2028</v>
      </c>
      <c r="B306" s="39" t="n">
        <f aca="false">SIP_Fund2_HDFCMidcap!B50</f>
        <v>47027</v>
      </c>
      <c r="C306" s="40" t="n">
        <f aca="false">SIP_Fund2_HDFCMidcap!C50</f>
        <v>6000</v>
      </c>
      <c r="D306" s="41" t="n">
        <f aca="false">SIP_Fund2_HDFCMidcap!D50</f>
        <v>310.588784702091</v>
      </c>
      <c r="E306" s="42" t="n">
        <f aca="false">SIP_Fund2_HDFCMidcap!E50</f>
        <v>19.3181476457853</v>
      </c>
      <c r="F306" s="38" t="n">
        <f aca="false">Assumptions!$C$5-B306</f>
        <v>2662</v>
      </c>
      <c r="G306" s="41" t="n">
        <f aca="false">Assumptions!$D$21*(1+Assumptions!$F$21)^((Assumptions!$C$5-Assumptions!$C$4)/365)</f>
        <v>807.609511036577</v>
      </c>
      <c r="H306" s="40" t="n">
        <f aca="false">E306*G306</f>
        <v>15601.5197743451</v>
      </c>
      <c r="I306" s="48" t="n">
        <f aca="false">IF(F306&lt;365,Assumptions!$G$21,IF(F306&lt;=730,Assumptions!$H$21,Assumptions!$I$21))</f>
        <v>0</v>
      </c>
      <c r="J306" s="40" t="n">
        <f aca="false">H306*I306</f>
        <v>0</v>
      </c>
      <c r="K306" s="40" t="n">
        <f aca="false">H306-J306</f>
        <v>15601.5197743451</v>
      </c>
      <c r="L306" s="40" t="n">
        <f aca="false">K306-C306</f>
        <v>9601.51977434505</v>
      </c>
      <c r="M306" s="38" t="str">
        <f aca="false">IF(F306&gt;365,"LTCG","STCG")</f>
        <v>LTCG</v>
      </c>
      <c r="N306" s="48" t="n">
        <f aca="false">IF(M306="LTCG",Assumptions!$C$12,Assumptions!$C$11)</f>
        <v>0.125</v>
      </c>
      <c r="O306" s="38" t="str">
        <f aca="false">IF(M306="STCG",MAX(L306,0)*Assumptions!$C$11,"agg. below")</f>
        <v>agg. below</v>
      </c>
    </row>
    <row r="307" customFormat="false" ht="15" hidden="false" customHeight="false" outlineLevel="1" collapsed="false">
      <c r="A307" s="33" t="str">
        <f aca="false">TEXT(SIP_Fund2_HDFCMidcap!B51,"mmm-yyyy")</f>
        <v>Nov-2028</v>
      </c>
      <c r="B307" s="34" t="n">
        <f aca="false">SIP_Fund2_HDFCMidcap!B51</f>
        <v>47058</v>
      </c>
      <c r="C307" s="35" t="n">
        <f aca="false">SIP_Fund2_HDFCMidcap!C51</f>
        <v>6000</v>
      </c>
      <c r="D307" s="36" t="n">
        <f aca="false">SIP_Fund2_HDFCMidcap!D51</f>
        <v>314.064453050285</v>
      </c>
      <c r="E307" s="37" t="n">
        <f aca="false">SIP_Fund2_HDFCMidcap!E51</f>
        <v>19.1043588082836</v>
      </c>
      <c r="F307" s="33" t="n">
        <f aca="false">Assumptions!$C$5-B307</f>
        <v>2631</v>
      </c>
      <c r="G307" s="36" t="n">
        <f aca="false">Assumptions!$D$21*(1+Assumptions!$F$21)^((Assumptions!$C$5-Assumptions!$C$4)/365)</f>
        <v>807.609511036577</v>
      </c>
      <c r="H307" s="35" t="n">
        <f aca="false">E307*G307</f>
        <v>15428.8618758253</v>
      </c>
      <c r="I307" s="47" t="n">
        <f aca="false">IF(F307&lt;365,Assumptions!$G$21,IF(F307&lt;=730,Assumptions!$H$21,Assumptions!$I$21))</f>
        <v>0</v>
      </c>
      <c r="J307" s="35" t="n">
        <f aca="false">H307*I307</f>
        <v>0</v>
      </c>
      <c r="K307" s="35" t="n">
        <f aca="false">H307-J307</f>
        <v>15428.8618758253</v>
      </c>
      <c r="L307" s="35" t="n">
        <f aca="false">K307-C307</f>
        <v>9428.86187582527</v>
      </c>
      <c r="M307" s="33" t="str">
        <f aca="false">IF(F307&gt;365,"LTCG","STCG")</f>
        <v>LTCG</v>
      </c>
      <c r="N307" s="47" t="n">
        <f aca="false">IF(M307="LTCG",Assumptions!$C$12,Assumptions!$C$11)</f>
        <v>0.125</v>
      </c>
      <c r="O307" s="33" t="str">
        <f aca="false">IF(M307="STCG",MAX(L307,0)*Assumptions!$C$11,"agg. below")</f>
        <v>agg. below</v>
      </c>
    </row>
    <row r="308" customFormat="false" ht="15" hidden="false" customHeight="false" outlineLevel="1" collapsed="false">
      <c r="A308" s="38" t="str">
        <f aca="false">TEXT(SIP_Fund2_HDFCMidcap!B52,"mmm-yyyy")</f>
        <v>Dec-2028</v>
      </c>
      <c r="B308" s="39" t="n">
        <f aca="false">SIP_Fund2_HDFCMidcap!B52</f>
        <v>47088</v>
      </c>
      <c r="C308" s="40" t="n">
        <f aca="false">SIP_Fund2_HDFCMidcap!C52</f>
        <v>6000</v>
      </c>
      <c r="D308" s="41" t="n">
        <f aca="false">SIP_Fund2_HDFCMidcap!D52</f>
        <v>317.465031595739</v>
      </c>
      <c r="E308" s="42" t="n">
        <f aca="false">SIP_Fund2_HDFCMidcap!E52</f>
        <v>18.8997193481152</v>
      </c>
      <c r="F308" s="38" t="n">
        <f aca="false">Assumptions!$C$5-B308</f>
        <v>2601</v>
      </c>
      <c r="G308" s="41" t="n">
        <f aca="false">Assumptions!$D$21*(1+Assumptions!$F$21)^((Assumptions!$C$5-Assumptions!$C$4)/365)</f>
        <v>807.609511036577</v>
      </c>
      <c r="H308" s="40" t="n">
        <f aca="false">E308*G308</f>
        <v>15263.5931014599</v>
      </c>
      <c r="I308" s="48" t="n">
        <f aca="false">IF(F308&lt;365,Assumptions!$G$21,IF(F308&lt;=730,Assumptions!$H$21,Assumptions!$I$21))</f>
        <v>0</v>
      </c>
      <c r="J308" s="40" t="n">
        <f aca="false">H308*I308</f>
        <v>0</v>
      </c>
      <c r="K308" s="40" t="n">
        <f aca="false">H308-J308</f>
        <v>15263.5931014599</v>
      </c>
      <c r="L308" s="40" t="n">
        <f aca="false">K308-C308</f>
        <v>9263.59310145989</v>
      </c>
      <c r="M308" s="38" t="str">
        <f aca="false">IF(F308&gt;365,"LTCG","STCG")</f>
        <v>LTCG</v>
      </c>
      <c r="N308" s="48" t="n">
        <f aca="false">IF(M308="LTCG",Assumptions!$C$12,Assumptions!$C$11)</f>
        <v>0.125</v>
      </c>
      <c r="O308" s="38" t="str">
        <f aca="false">IF(M308="STCG",MAX(L308,0)*Assumptions!$C$11,"agg. below")</f>
        <v>agg. below</v>
      </c>
    </row>
    <row r="309" customFormat="false" ht="15" hidden="false" customHeight="false" outlineLevel="1" collapsed="false">
      <c r="A309" s="33" t="str">
        <f aca="false">TEXT(SIP_Fund2_HDFCMidcap!B53,"mmm-yyyy")</f>
        <v>Jan-2029</v>
      </c>
      <c r="B309" s="34" t="n">
        <f aca="false">SIP_Fund2_HDFCMidcap!B53</f>
        <v>47119</v>
      </c>
      <c r="C309" s="35" t="n">
        <f aca="false">SIP_Fund2_HDFCMidcap!C53</f>
        <v>7000</v>
      </c>
      <c r="D309" s="36" t="n">
        <f aca="false">SIP_Fund2_HDFCMidcap!D53</f>
        <v>321.017649128385</v>
      </c>
      <c r="E309" s="37" t="n">
        <f aca="false">SIP_Fund2_HDFCMidcap!E53</f>
        <v>21.8056546704087</v>
      </c>
      <c r="F309" s="33" t="n">
        <f aca="false">Assumptions!$C$5-B309</f>
        <v>2570</v>
      </c>
      <c r="G309" s="36" t="n">
        <f aca="false">Assumptions!$D$21*(1+Assumptions!$F$21)^((Assumptions!$C$5-Assumptions!$C$4)/365)</f>
        <v>807.609511036577</v>
      </c>
      <c r="H309" s="35" t="n">
        <f aca="false">E309*G309</f>
        <v>17610.4541062012</v>
      </c>
      <c r="I309" s="47" t="n">
        <f aca="false">IF(F309&lt;365,Assumptions!$G$21,IF(F309&lt;=730,Assumptions!$H$21,Assumptions!$I$21))</f>
        <v>0</v>
      </c>
      <c r="J309" s="35" t="n">
        <f aca="false">H309*I309</f>
        <v>0</v>
      </c>
      <c r="K309" s="35" t="n">
        <f aca="false">H309-J309</f>
        <v>17610.4541062012</v>
      </c>
      <c r="L309" s="35" t="n">
        <f aca="false">K309-C309</f>
        <v>10610.4541062012</v>
      </c>
      <c r="M309" s="33" t="str">
        <f aca="false">IF(F309&gt;365,"LTCG","STCG")</f>
        <v>LTCG</v>
      </c>
      <c r="N309" s="47" t="n">
        <f aca="false">IF(M309="LTCG",Assumptions!$C$12,Assumptions!$C$11)</f>
        <v>0.125</v>
      </c>
      <c r="O309" s="33" t="str">
        <f aca="false">IF(M309="STCG",MAX(L309,0)*Assumptions!$C$11,"agg. below")</f>
        <v>agg. below</v>
      </c>
    </row>
    <row r="310" customFormat="false" ht="15" hidden="false" customHeight="false" outlineLevel="1" collapsed="false">
      <c r="A310" s="38" t="str">
        <f aca="false">TEXT(SIP_Fund2_HDFCMidcap!B54,"mmm-yyyy")</f>
        <v>Feb-2029</v>
      </c>
      <c r="B310" s="39" t="n">
        <f aca="false">SIP_Fund2_HDFCMidcap!B54</f>
        <v>47150</v>
      </c>
      <c r="C310" s="40" t="n">
        <f aca="false">SIP_Fund2_HDFCMidcap!C54</f>
        <v>7000</v>
      </c>
      <c r="D310" s="41" t="n">
        <f aca="false">SIP_Fund2_HDFCMidcap!D54</f>
        <v>324.610022508376</v>
      </c>
      <c r="E310" s="42" t="n">
        <f aca="false">SIP_Fund2_HDFCMidcap!E54</f>
        <v>21.5643372496897</v>
      </c>
      <c r="F310" s="38" t="n">
        <f aca="false">Assumptions!$C$5-B310</f>
        <v>2539</v>
      </c>
      <c r="G310" s="41" t="n">
        <f aca="false">Assumptions!$D$21*(1+Assumptions!$F$21)^((Assumptions!$C$5-Assumptions!$C$4)/365)</f>
        <v>807.609511036577</v>
      </c>
      <c r="H310" s="40" t="n">
        <f aca="false">E310*G310</f>
        <v>17415.5638620498</v>
      </c>
      <c r="I310" s="48" t="n">
        <f aca="false">IF(F310&lt;365,Assumptions!$G$21,IF(F310&lt;=730,Assumptions!$H$21,Assumptions!$I$21))</f>
        <v>0</v>
      </c>
      <c r="J310" s="40" t="n">
        <f aca="false">H310*I310</f>
        <v>0</v>
      </c>
      <c r="K310" s="40" t="n">
        <f aca="false">H310-J310</f>
        <v>17415.5638620498</v>
      </c>
      <c r="L310" s="40" t="n">
        <f aca="false">K310-C310</f>
        <v>10415.5638620498</v>
      </c>
      <c r="M310" s="38" t="str">
        <f aca="false">IF(F310&gt;365,"LTCG","STCG")</f>
        <v>LTCG</v>
      </c>
      <c r="N310" s="48" t="n">
        <f aca="false">IF(M310="LTCG",Assumptions!$C$12,Assumptions!$C$11)</f>
        <v>0.125</v>
      </c>
      <c r="O310" s="38" t="str">
        <f aca="false">IF(M310="STCG",MAX(L310,0)*Assumptions!$C$11,"agg. below")</f>
        <v>agg. below</v>
      </c>
    </row>
    <row r="311" customFormat="false" ht="15" hidden="false" customHeight="false" outlineLevel="1" collapsed="false">
      <c r="A311" s="33" t="str">
        <f aca="false">TEXT(SIP_Fund2_HDFCMidcap!B55,"mmm-yyyy")</f>
        <v>Mar-2029</v>
      </c>
      <c r="B311" s="34" t="n">
        <f aca="false">SIP_Fund2_HDFCMidcap!B55</f>
        <v>47178</v>
      </c>
      <c r="C311" s="35" t="n">
        <f aca="false">SIP_Fund2_HDFCMidcap!C55</f>
        <v>7000</v>
      </c>
      <c r="D311" s="36" t="n">
        <f aca="false">SIP_Fund2_HDFCMidcap!D55</f>
        <v>327.889287808509</v>
      </c>
      <c r="E311" s="37" t="n">
        <f aca="false">SIP_Fund2_HDFCMidcap!E55</f>
        <v>21.3486693840638</v>
      </c>
      <c r="F311" s="33" t="n">
        <f aca="false">Assumptions!$C$5-B311</f>
        <v>2511</v>
      </c>
      <c r="G311" s="36" t="n">
        <f aca="false">Assumptions!$D$21*(1+Assumptions!$F$21)^((Assumptions!$C$5-Assumptions!$C$4)/365)</f>
        <v>807.609511036577</v>
      </c>
      <c r="H311" s="35" t="n">
        <f aca="false">E311*G311</f>
        <v>17241.3884425453</v>
      </c>
      <c r="I311" s="47" t="n">
        <f aca="false">IF(F311&lt;365,Assumptions!$G$21,IF(F311&lt;=730,Assumptions!$H$21,Assumptions!$I$21))</f>
        <v>0</v>
      </c>
      <c r="J311" s="35" t="n">
        <f aca="false">H311*I311</f>
        <v>0</v>
      </c>
      <c r="K311" s="35" t="n">
        <f aca="false">H311-J311</f>
        <v>17241.3884425453</v>
      </c>
      <c r="L311" s="35" t="n">
        <f aca="false">K311-C311</f>
        <v>10241.3884425453</v>
      </c>
      <c r="M311" s="33" t="str">
        <f aca="false">IF(F311&gt;365,"LTCG","STCG")</f>
        <v>LTCG</v>
      </c>
      <c r="N311" s="47" t="n">
        <f aca="false">IF(M311="LTCG",Assumptions!$C$12,Assumptions!$C$11)</f>
        <v>0.125</v>
      </c>
      <c r="O311" s="33" t="str">
        <f aca="false">IF(M311="STCG",MAX(L311,0)*Assumptions!$C$11,"agg. below")</f>
        <v>agg. below</v>
      </c>
    </row>
    <row r="312" customFormat="false" ht="15" hidden="false" customHeight="false" outlineLevel="1" collapsed="false">
      <c r="A312" s="38" t="str">
        <f aca="false">TEXT(SIP_Fund2_HDFCMidcap!B56,"mmm-yyyy")</f>
        <v>Apr-2029</v>
      </c>
      <c r="B312" s="39" t="n">
        <f aca="false">SIP_Fund2_HDFCMidcap!B56</f>
        <v>47209</v>
      </c>
      <c r="C312" s="40" t="n">
        <f aca="false">SIP_Fund2_HDFCMidcap!C56</f>
        <v>7000</v>
      </c>
      <c r="D312" s="41" t="n">
        <f aca="false">SIP_Fund2_HDFCMidcap!D56</f>
        <v>331.558558804373</v>
      </c>
      <c r="E312" s="42" t="n">
        <f aca="false">SIP_Fund2_HDFCMidcap!E56</f>
        <v>21.1124092988055</v>
      </c>
      <c r="F312" s="38" t="n">
        <f aca="false">Assumptions!$C$5-B312</f>
        <v>2480</v>
      </c>
      <c r="G312" s="41" t="n">
        <f aca="false">Assumptions!$D$21*(1+Assumptions!$F$21)^((Assumptions!$C$5-Assumptions!$C$4)/365)</f>
        <v>807.609511036577</v>
      </c>
      <c r="H312" s="40" t="n">
        <f aca="false">E312*G312</f>
        <v>17050.5825506124</v>
      </c>
      <c r="I312" s="48" t="n">
        <f aca="false">IF(F312&lt;365,Assumptions!$G$21,IF(F312&lt;=730,Assumptions!$H$21,Assumptions!$I$21))</f>
        <v>0</v>
      </c>
      <c r="J312" s="40" t="n">
        <f aca="false">H312*I312</f>
        <v>0</v>
      </c>
      <c r="K312" s="40" t="n">
        <f aca="false">H312-J312</f>
        <v>17050.5825506124</v>
      </c>
      <c r="L312" s="40" t="n">
        <f aca="false">K312-C312</f>
        <v>10050.5825506124</v>
      </c>
      <c r="M312" s="38" t="str">
        <f aca="false">IF(F312&gt;365,"LTCG","STCG")</f>
        <v>LTCG</v>
      </c>
      <c r="N312" s="48" t="n">
        <f aca="false">IF(M312="LTCG",Assumptions!$C$12,Assumptions!$C$11)</f>
        <v>0.125</v>
      </c>
      <c r="O312" s="38" t="str">
        <f aca="false">IF(M312="STCG",MAX(L312,0)*Assumptions!$C$11,"agg. below")</f>
        <v>agg. below</v>
      </c>
    </row>
    <row r="313" customFormat="false" ht="15" hidden="false" customHeight="false" outlineLevel="1" collapsed="false">
      <c r="A313" s="33" t="str">
        <f aca="false">TEXT(SIP_Fund2_HDFCMidcap!B57,"mmm-yyyy")</f>
        <v>May-2029</v>
      </c>
      <c r="B313" s="34" t="n">
        <f aca="false">SIP_Fund2_HDFCMidcap!B57</f>
        <v>47239</v>
      </c>
      <c r="C313" s="35" t="n">
        <f aca="false">SIP_Fund2_HDFCMidcap!C57</f>
        <v>7000</v>
      </c>
      <c r="D313" s="36" t="n">
        <f aca="false">SIP_Fund2_HDFCMidcap!D57</f>
        <v>335.148557324362</v>
      </c>
      <c r="E313" s="37" t="n">
        <f aca="false">SIP_Fund2_HDFCMidcap!E57</f>
        <v>20.8862602777827</v>
      </c>
      <c r="F313" s="33" t="n">
        <f aca="false">Assumptions!$C$5-B313</f>
        <v>2450</v>
      </c>
      <c r="G313" s="36" t="n">
        <f aca="false">Assumptions!$D$21*(1+Assumptions!$F$21)^((Assumptions!$C$5-Assumptions!$C$4)/365)</f>
        <v>807.609511036577</v>
      </c>
      <c r="H313" s="35" t="n">
        <f aca="false">E313*G313</f>
        <v>16867.9424503228</v>
      </c>
      <c r="I313" s="47" t="n">
        <f aca="false">IF(F313&lt;365,Assumptions!$G$21,IF(F313&lt;=730,Assumptions!$H$21,Assumptions!$I$21))</f>
        <v>0</v>
      </c>
      <c r="J313" s="35" t="n">
        <f aca="false">H313*I313</f>
        <v>0</v>
      </c>
      <c r="K313" s="35" t="n">
        <f aca="false">H313-J313</f>
        <v>16867.9424503228</v>
      </c>
      <c r="L313" s="35" t="n">
        <f aca="false">K313-C313</f>
        <v>9867.94245032278</v>
      </c>
      <c r="M313" s="33" t="str">
        <f aca="false">IF(F313&gt;365,"LTCG","STCG")</f>
        <v>LTCG</v>
      </c>
      <c r="N313" s="47" t="n">
        <f aca="false">IF(M313="LTCG",Assumptions!$C$12,Assumptions!$C$11)</f>
        <v>0.125</v>
      </c>
      <c r="O313" s="33" t="str">
        <f aca="false">IF(M313="STCG",MAX(L313,0)*Assumptions!$C$11,"agg. below")</f>
        <v>agg. below</v>
      </c>
    </row>
    <row r="314" customFormat="false" ht="15" hidden="false" customHeight="false" outlineLevel="1" collapsed="false">
      <c r="A314" s="38" t="str">
        <f aca="false">TEXT(SIP_Fund2_HDFCMidcap!B58,"mmm-yyyy")</f>
        <v>Jun-2029</v>
      </c>
      <c r="B314" s="39" t="n">
        <f aca="false">SIP_Fund2_HDFCMidcap!B58</f>
        <v>47270</v>
      </c>
      <c r="C314" s="40" t="n">
        <f aca="false">SIP_Fund2_HDFCMidcap!C58</f>
        <v>7000</v>
      </c>
      <c r="D314" s="41" t="n">
        <f aca="false">SIP_Fund2_HDFCMidcap!D58</f>
        <v>338.899063749611</v>
      </c>
      <c r="E314" s="42" t="n">
        <f aca="false">SIP_Fund2_HDFCMidcap!E58</f>
        <v>20.6551175519677</v>
      </c>
      <c r="F314" s="38" t="n">
        <f aca="false">Assumptions!$C$5-B314</f>
        <v>2419</v>
      </c>
      <c r="G314" s="41" t="n">
        <f aca="false">Assumptions!$D$21*(1+Assumptions!$F$21)^((Assumptions!$C$5-Assumptions!$C$4)/365)</f>
        <v>807.609511036577</v>
      </c>
      <c r="H314" s="40" t="n">
        <f aca="false">E314*G314</f>
        <v>16681.2693865476</v>
      </c>
      <c r="I314" s="48" t="n">
        <f aca="false">IF(F314&lt;365,Assumptions!$G$21,IF(F314&lt;=730,Assumptions!$H$21,Assumptions!$I$21))</f>
        <v>0</v>
      </c>
      <c r="J314" s="40" t="n">
        <f aca="false">H314*I314</f>
        <v>0</v>
      </c>
      <c r="K314" s="40" t="n">
        <f aca="false">H314-J314</f>
        <v>16681.2693865476</v>
      </c>
      <c r="L314" s="40" t="n">
        <f aca="false">K314-C314</f>
        <v>9681.26938654763</v>
      </c>
      <c r="M314" s="38" t="str">
        <f aca="false">IF(F314&gt;365,"LTCG","STCG")</f>
        <v>LTCG</v>
      </c>
      <c r="N314" s="48" t="n">
        <f aca="false">IF(M314="LTCG",Assumptions!$C$12,Assumptions!$C$11)</f>
        <v>0.125</v>
      </c>
      <c r="O314" s="38" t="str">
        <f aca="false">IF(M314="STCG",MAX(L314,0)*Assumptions!$C$11,"agg. below")</f>
        <v>agg. below</v>
      </c>
    </row>
    <row r="315" customFormat="false" ht="15" hidden="false" customHeight="false" outlineLevel="1" collapsed="false">
      <c r="A315" s="33" t="str">
        <f aca="false">TEXT(SIP_Fund2_HDFCMidcap!B59,"mmm-yyyy")</f>
        <v>Jul-2029</v>
      </c>
      <c r="B315" s="34" t="n">
        <f aca="false">SIP_Fund2_HDFCMidcap!B59</f>
        <v>47300</v>
      </c>
      <c r="C315" s="35" t="n">
        <f aca="false">SIP_Fund2_HDFCMidcap!C59</f>
        <v>7000</v>
      </c>
      <c r="D315" s="36" t="n">
        <f aca="false">SIP_Fund2_HDFCMidcap!D59</f>
        <v>342.568542654556</v>
      </c>
      <c r="E315" s="37" t="n">
        <f aca="false">SIP_Fund2_HDFCMidcap!E59</f>
        <v>20.4338668861921</v>
      </c>
      <c r="F315" s="33" t="n">
        <f aca="false">Assumptions!$C$5-B315</f>
        <v>2389</v>
      </c>
      <c r="G315" s="36" t="n">
        <f aca="false">Assumptions!$D$21*(1+Assumptions!$F$21)^((Assumptions!$C$5-Assumptions!$C$4)/365)</f>
        <v>807.609511036577</v>
      </c>
      <c r="H315" s="35" t="n">
        <f aca="false">E315*G315</f>
        <v>16502.5852445441</v>
      </c>
      <c r="I315" s="47" t="n">
        <f aca="false">IF(F315&lt;365,Assumptions!$G$21,IF(F315&lt;=730,Assumptions!$H$21,Assumptions!$I$21))</f>
        <v>0</v>
      </c>
      <c r="J315" s="35" t="n">
        <f aca="false">H315*I315</f>
        <v>0</v>
      </c>
      <c r="K315" s="35" t="n">
        <f aca="false">H315-J315</f>
        <v>16502.5852445441</v>
      </c>
      <c r="L315" s="35" t="n">
        <f aca="false">K315-C315</f>
        <v>9502.58524454407</v>
      </c>
      <c r="M315" s="33" t="str">
        <f aca="false">IF(F315&gt;365,"LTCG","STCG")</f>
        <v>LTCG</v>
      </c>
      <c r="N315" s="47" t="n">
        <f aca="false">IF(M315="LTCG",Assumptions!$C$12,Assumptions!$C$11)</f>
        <v>0.125</v>
      </c>
      <c r="O315" s="33" t="str">
        <f aca="false">IF(M315="STCG",MAX(L315,0)*Assumptions!$C$11,"agg. below")</f>
        <v>agg. below</v>
      </c>
    </row>
    <row r="316" customFormat="false" ht="15" hidden="false" customHeight="false" outlineLevel="1" collapsed="false">
      <c r="A316" s="38" t="str">
        <f aca="false">TEXT(SIP_Fund2_HDFCMidcap!B60,"mmm-yyyy")</f>
        <v>Aug-2029</v>
      </c>
      <c r="B316" s="39" t="n">
        <f aca="false">SIP_Fund2_HDFCMidcap!B60</f>
        <v>47331</v>
      </c>
      <c r="C316" s="40" t="n">
        <f aca="false">SIP_Fund2_HDFCMidcap!C60</f>
        <v>7000</v>
      </c>
      <c r="D316" s="41" t="n">
        <f aca="false">SIP_Fund2_HDFCMidcap!D60</f>
        <v>346.402083012215</v>
      </c>
      <c r="E316" s="42" t="n">
        <f aca="false">SIP_Fund2_HDFCMidcap!E60</f>
        <v>20.2077306785513</v>
      </c>
      <c r="F316" s="38" t="n">
        <f aca="false">Assumptions!$C$5-B316</f>
        <v>2358</v>
      </c>
      <c r="G316" s="41" t="n">
        <f aca="false">Assumptions!$D$21*(1+Assumptions!$F$21)^((Assumptions!$C$5-Assumptions!$C$4)/365)</f>
        <v>807.609511036577</v>
      </c>
      <c r="H316" s="40" t="n">
        <f aca="false">E316*G316</f>
        <v>16319.9554924636</v>
      </c>
      <c r="I316" s="48" t="n">
        <f aca="false">IF(F316&lt;365,Assumptions!$G$21,IF(F316&lt;=730,Assumptions!$H$21,Assumptions!$I$21))</f>
        <v>0</v>
      </c>
      <c r="J316" s="40" t="n">
        <f aca="false">H316*I316</f>
        <v>0</v>
      </c>
      <c r="K316" s="40" t="n">
        <f aca="false">H316-J316</f>
        <v>16319.9554924636</v>
      </c>
      <c r="L316" s="40" t="n">
        <f aca="false">K316-C316</f>
        <v>9319.95549246363</v>
      </c>
      <c r="M316" s="38" t="str">
        <f aca="false">IF(F316&gt;365,"LTCG","STCG")</f>
        <v>LTCG</v>
      </c>
      <c r="N316" s="48" t="n">
        <f aca="false">IF(M316="LTCG",Assumptions!$C$12,Assumptions!$C$11)</f>
        <v>0.125</v>
      </c>
      <c r="O316" s="38" t="str">
        <f aca="false">IF(M316="STCG",MAX(L316,0)*Assumptions!$C$11,"agg. below")</f>
        <v>agg. below</v>
      </c>
    </row>
    <row r="317" customFormat="false" ht="15" hidden="false" customHeight="false" outlineLevel="1" collapsed="false">
      <c r="A317" s="33" t="str">
        <f aca="false">TEXT(SIP_Fund2_HDFCMidcap!B61,"mmm-yyyy")</f>
        <v>Sep-2029</v>
      </c>
      <c r="B317" s="34" t="n">
        <f aca="false">SIP_Fund2_HDFCMidcap!B61</f>
        <v>47362</v>
      </c>
      <c r="C317" s="35" t="n">
        <f aca="false">SIP_Fund2_HDFCMidcap!C61</f>
        <v>7000</v>
      </c>
      <c r="D317" s="36" t="n">
        <f aca="false">SIP_Fund2_HDFCMidcap!D61</f>
        <v>350.2785229063</v>
      </c>
      <c r="E317" s="37" t="n">
        <f aca="false">SIP_Fund2_HDFCMidcap!E61</f>
        <v>19.9840970605912</v>
      </c>
      <c r="F317" s="33" t="n">
        <f aca="false">Assumptions!$C$5-B317</f>
        <v>2327</v>
      </c>
      <c r="G317" s="36" t="n">
        <f aca="false">Assumptions!$D$21*(1+Assumptions!$F$21)^((Assumptions!$C$5-Assumptions!$C$4)/365)</f>
        <v>807.609511036577</v>
      </c>
      <c r="H317" s="35" t="n">
        <f aca="false">E317*G317</f>
        <v>16139.3468556115</v>
      </c>
      <c r="I317" s="47" t="n">
        <f aca="false">IF(F317&lt;365,Assumptions!$G$21,IF(F317&lt;=730,Assumptions!$H$21,Assumptions!$I$21))</f>
        <v>0</v>
      </c>
      <c r="J317" s="35" t="n">
        <f aca="false">H317*I317</f>
        <v>0</v>
      </c>
      <c r="K317" s="35" t="n">
        <f aca="false">H317-J317</f>
        <v>16139.3468556115</v>
      </c>
      <c r="L317" s="35" t="n">
        <f aca="false">K317-C317</f>
        <v>9139.34685561155</v>
      </c>
      <c r="M317" s="33" t="str">
        <f aca="false">IF(F317&gt;365,"LTCG","STCG")</f>
        <v>LTCG</v>
      </c>
      <c r="N317" s="47" t="n">
        <f aca="false">IF(M317="LTCG",Assumptions!$C$12,Assumptions!$C$11)</f>
        <v>0.125</v>
      </c>
      <c r="O317" s="33" t="str">
        <f aca="false">IF(M317="STCG",MAX(L317,0)*Assumptions!$C$11,"agg. below")</f>
        <v>agg. below</v>
      </c>
    </row>
    <row r="318" customFormat="false" ht="15" hidden="false" customHeight="false" outlineLevel="1" collapsed="false">
      <c r="A318" s="38" t="str">
        <f aca="false">TEXT(SIP_Fund2_HDFCMidcap!B62,"mmm-yyyy")</f>
        <v>Oct-2029</v>
      </c>
      <c r="B318" s="39" t="n">
        <f aca="false">SIP_Fund2_HDFCMidcap!B62</f>
        <v>47392</v>
      </c>
      <c r="C318" s="40" t="n">
        <f aca="false">SIP_Fund2_HDFCMidcap!C62</f>
        <v>7000</v>
      </c>
      <c r="D318" s="41" t="n">
        <f aca="false">SIP_Fund2_HDFCMidcap!D62</f>
        <v>354.071214560383</v>
      </c>
      <c r="E318" s="42" t="n">
        <f aca="false">SIP_Fund2_HDFCMidcap!E62</f>
        <v>19.7700341404235</v>
      </c>
      <c r="F318" s="38" t="n">
        <f aca="false">Assumptions!$C$5-B318</f>
        <v>2297</v>
      </c>
      <c r="G318" s="41" t="n">
        <f aca="false">Assumptions!$D$21*(1+Assumptions!$F$21)^((Assumptions!$C$5-Assumptions!$C$4)/365)</f>
        <v>807.609511036577</v>
      </c>
      <c r="H318" s="40" t="n">
        <f aca="false">E318*G318</f>
        <v>15966.4676053239</v>
      </c>
      <c r="I318" s="48" t="n">
        <f aca="false">IF(F318&lt;365,Assumptions!$G$21,IF(F318&lt;=730,Assumptions!$H$21,Assumptions!$I$21))</f>
        <v>0</v>
      </c>
      <c r="J318" s="40" t="n">
        <f aca="false">H318*I318</f>
        <v>0</v>
      </c>
      <c r="K318" s="40" t="n">
        <f aca="false">H318-J318</f>
        <v>15966.4676053239</v>
      </c>
      <c r="L318" s="40" t="n">
        <f aca="false">K318-C318</f>
        <v>8966.46760532389</v>
      </c>
      <c r="M318" s="38" t="str">
        <f aca="false">IF(F318&gt;365,"LTCG","STCG")</f>
        <v>LTCG</v>
      </c>
      <c r="N318" s="48" t="n">
        <f aca="false">IF(M318="LTCG",Assumptions!$C$12,Assumptions!$C$11)</f>
        <v>0.125</v>
      </c>
      <c r="O318" s="38" t="str">
        <f aca="false">IF(M318="STCG",MAX(L318,0)*Assumptions!$C$11,"agg. below")</f>
        <v>agg. below</v>
      </c>
    </row>
    <row r="319" customFormat="false" ht="15" hidden="false" customHeight="false" outlineLevel="1" collapsed="false">
      <c r="A319" s="33" t="str">
        <f aca="false">TEXT(SIP_Fund2_HDFCMidcap!B63,"mmm-yyyy")</f>
        <v>Nov-2029</v>
      </c>
      <c r="B319" s="34" t="n">
        <f aca="false">SIP_Fund2_HDFCMidcap!B63</f>
        <v>47423</v>
      </c>
      <c r="C319" s="35" t="n">
        <f aca="false">SIP_Fund2_HDFCMidcap!C63</f>
        <v>7000</v>
      </c>
      <c r="D319" s="36" t="n">
        <f aca="false">SIP_Fund2_HDFCMidcap!D63</f>
        <v>358.033476477326</v>
      </c>
      <c r="E319" s="37" t="n">
        <f aca="false">SIP_Fund2_HDFCMidcap!E63</f>
        <v>19.5512443944423</v>
      </c>
      <c r="F319" s="33" t="n">
        <f aca="false">Assumptions!$C$5-B319</f>
        <v>2266</v>
      </c>
      <c r="G319" s="36" t="n">
        <f aca="false">Assumptions!$D$21*(1+Assumptions!$F$21)^((Assumptions!$C$5-Assumptions!$C$4)/365)</f>
        <v>807.609511036577</v>
      </c>
      <c r="H319" s="35" t="n">
        <f aca="false">E319*G319</f>
        <v>15789.7709255522</v>
      </c>
      <c r="I319" s="47" t="n">
        <f aca="false">IF(F319&lt;365,Assumptions!$G$21,IF(F319&lt;=730,Assumptions!$H$21,Assumptions!$I$21))</f>
        <v>0</v>
      </c>
      <c r="J319" s="35" t="n">
        <f aca="false">H319*I319</f>
        <v>0</v>
      </c>
      <c r="K319" s="35" t="n">
        <f aca="false">H319-J319</f>
        <v>15789.7709255522</v>
      </c>
      <c r="L319" s="35" t="n">
        <f aca="false">K319-C319</f>
        <v>8789.77092555217</v>
      </c>
      <c r="M319" s="33" t="str">
        <f aca="false">IF(F319&gt;365,"LTCG","STCG")</f>
        <v>LTCG</v>
      </c>
      <c r="N319" s="47" t="n">
        <f aca="false">IF(M319="LTCG",Assumptions!$C$12,Assumptions!$C$11)</f>
        <v>0.125</v>
      </c>
      <c r="O319" s="33" t="str">
        <f aca="false">IF(M319="STCG",MAX(L319,0)*Assumptions!$C$11,"agg. below")</f>
        <v>agg. below</v>
      </c>
    </row>
    <row r="320" customFormat="false" ht="15" hidden="false" customHeight="false" outlineLevel="1" collapsed="false">
      <c r="A320" s="38" t="str">
        <f aca="false">TEXT(SIP_Fund2_HDFCMidcap!B64,"mmm-yyyy")</f>
        <v>Dec-2029</v>
      </c>
      <c r="B320" s="39" t="n">
        <f aca="false">SIP_Fund2_HDFCMidcap!B64</f>
        <v>47453</v>
      </c>
      <c r="C320" s="40" t="n">
        <f aca="false">SIP_Fund2_HDFCMidcap!C64</f>
        <v>7000</v>
      </c>
      <c r="D320" s="41" t="n">
        <f aca="false">SIP_Fund2_HDFCMidcap!D64</f>
        <v>361.910136019142</v>
      </c>
      <c r="E320" s="42" t="n">
        <f aca="false">SIP_Fund2_HDFCMidcap!E64</f>
        <v>19.3418180463168</v>
      </c>
      <c r="F320" s="38" t="n">
        <f aca="false">Assumptions!$C$5-B320</f>
        <v>2236</v>
      </c>
      <c r="G320" s="41" t="n">
        <f aca="false">Assumptions!$D$21*(1+Assumptions!$F$21)^((Assumptions!$C$5-Assumptions!$C$4)/365)</f>
        <v>807.609511036577</v>
      </c>
      <c r="H320" s="40" t="n">
        <f aca="false">E320*G320</f>
        <v>15620.6362149443</v>
      </c>
      <c r="I320" s="48" t="n">
        <f aca="false">IF(F320&lt;365,Assumptions!$G$21,IF(F320&lt;=730,Assumptions!$H$21,Assumptions!$I$21))</f>
        <v>0</v>
      </c>
      <c r="J320" s="40" t="n">
        <f aca="false">H320*I320</f>
        <v>0</v>
      </c>
      <c r="K320" s="40" t="n">
        <f aca="false">H320-J320</f>
        <v>15620.6362149443</v>
      </c>
      <c r="L320" s="40" t="n">
        <f aca="false">K320-C320</f>
        <v>8620.63621494433</v>
      </c>
      <c r="M320" s="38" t="str">
        <f aca="false">IF(F320&gt;365,"LTCG","STCG")</f>
        <v>LTCG</v>
      </c>
      <c r="N320" s="48" t="n">
        <f aca="false">IF(M320="LTCG",Assumptions!$C$12,Assumptions!$C$11)</f>
        <v>0.125</v>
      </c>
      <c r="O320" s="38" t="str">
        <f aca="false">IF(M320="STCG",MAX(L320,0)*Assumptions!$C$11,"agg. below")</f>
        <v>agg. below</v>
      </c>
    </row>
    <row r="321" customFormat="false" ht="15" hidden="false" customHeight="false" outlineLevel="1" collapsed="false">
      <c r="A321" s="33" t="str">
        <f aca="false">TEXT(SIP_Fund2_HDFCMidcap!B65,"mmm-yyyy")</f>
        <v>Jan-2030</v>
      </c>
      <c r="B321" s="34" t="n">
        <f aca="false">SIP_Fund2_HDFCMidcap!B65</f>
        <v>47484</v>
      </c>
      <c r="C321" s="35" t="n">
        <f aca="false">SIP_Fund2_HDFCMidcap!C65</f>
        <v>8000</v>
      </c>
      <c r="D321" s="36" t="n">
        <f aca="false">SIP_Fund2_HDFCMidcap!D65</f>
        <v>365.960120006359</v>
      </c>
      <c r="E321" s="37" t="n">
        <f aca="false">SIP_Fund2_HDFCMidcap!E65</f>
        <v>21.8603054339937</v>
      </c>
      <c r="F321" s="33" t="n">
        <f aca="false">Assumptions!$C$5-B321</f>
        <v>2205</v>
      </c>
      <c r="G321" s="36" t="n">
        <f aca="false">Assumptions!$D$21*(1+Assumptions!$F$21)^((Assumptions!$C$5-Assumptions!$C$4)/365)</f>
        <v>807.609511036577</v>
      </c>
      <c r="H321" s="35" t="n">
        <f aca="false">E321*G321</f>
        <v>17654.5905826579</v>
      </c>
      <c r="I321" s="47" t="n">
        <f aca="false">IF(F321&lt;365,Assumptions!$G$21,IF(F321&lt;=730,Assumptions!$H$21,Assumptions!$I$21))</f>
        <v>0</v>
      </c>
      <c r="J321" s="35" t="n">
        <f aca="false">H321*I321</f>
        <v>0</v>
      </c>
      <c r="K321" s="35" t="n">
        <f aca="false">H321-J321</f>
        <v>17654.5905826579</v>
      </c>
      <c r="L321" s="35" t="n">
        <f aca="false">K321-C321</f>
        <v>9654.59058265788</v>
      </c>
      <c r="M321" s="33" t="str">
        <f aca="false">IF(F321&gt;365,"LTCG","STCG")</f>
        <v>LTCG</v>
      </c>
      <c r="N321" s="47" t="n">
        <f aca="false">IF(M321="LTCG",Assumptions!$C$12,Assumptions!$C$11)</f>
        <v>0.125</v>
      </c>
      <c r="O321" s="33" t="str">
        <f aca="false">IF(M321="STCG",MAX(L321,0)*Assumptions!$C$11,"agg. below")</f>
        <v>agg. below</v>
      </c>
    </row>
    <row r="322" customFormat="false" ht="15" hidden="false" customHeight="false" outlineLevel="1" collapsed="false">
      <c r="A322" s="38" t="str">
        <f aca="false">TEXT(SIP_Fund2_HDFCMidcap!B66,"mmm-yyyy")</f>
        <v>Feb-2030</v>
      </c>
      <c r="B322" s="39" t="n">
        <f aca="false">SIP_Fund2_HDFCMidcap!B66</f>
        <v>47515</v>
      </c>
      <c r="C322" s="40" t="n">
        <f aca="false">SIP_Fund2_HDFCMidcap!C66</f>
        <v>8000</v>
      </c>
      <c r="D322" s="41" t="n">
        <f aca="false">SIP_Fund2_HDFCMidcap!D66</f>
        <v>370.055425659549</v>
      </c>
      <c r="E322" s="42" t="n">
        <f aca="false">SIP_Fund2_HDFCMidcap!E66</f>
        <v>21.618383207709</v>
      </c>
      <c r="F322" s="38" t="n">
        <f aca="false">Assumptions!$C$5-B322</f>
        <v>2174</v>
      </c>
      <c r="G322" s="41" t="n">
        <f aca="false">Assumptions!$D$21*(1+Assumptions!$F$21)^((Assumptions!$C$5-Assumptions!$C$4)/365)</f>
        <v>807.609511036577</v>
      </c>
      <c r="H322" s="40" t="n">
        <f aca="false">E322*G322</f>
        <v>17459.2118917792</v>
      </c>
      <c r="I322" s="48" t="n">
        <f aca="false">IF(F322&lt;365,Assumptions!$G$21,IF(F322&lt;=730,Assumptions!$H$21,Assumptions!$I$21))</f>
        <v>0</v>
      </c>
      <c r="J322" s="40" t="n">
        <f aca="false">H322*I322</f>
        <v>0</v>
      </c>
      <c r="K322" s="40" t="n">
        <f aca="false">H322-J322</f>
        <v>17459.2118917792</v>
      </c>
      <c r="L322" s="40" t="n">
        <f aca="false">K322-C322</f>
        <v>9459.21189177923</v>
      </c>
      <c r="M322" s="38" t="str">
        <f aca="false">IF(F322&gt;365,"LTCG","STCG")</f>
        <v>LTCG</v>
      </c>
      <c r="N322" s="48" t="n">
        <f aca="false">IF(M322="LTCG",Assumptions!$C$12,Assumptions!$C$11)</f>
        <v>0.125</v>
      </c>
      <c r="O322" s="38" t="str">
        <f aca="false">IF(M322="STCG",MAX(L322,0)*Assumptions!$C$11,"agg. below")</f>
        <v>agg. below</v>
      </c>
    </row>
    <row r="323" customFormat="false" ht="15" hidden="false" customHeight="false" outlineLevel="1" collapsed="false">
      <c r="A323" s="33" t="str">
        <f aca="false">TEXT(SIP_Fund2_HDFCMidcap!B67,"mmm-yyyy")</f>
        <v>Mar-2030</v>
      </c>
      <c r="B323" s="34" t="n">
        <f aca="false">SIP_Fund2_HDFCMidcap!B67</f>
        <v>47543</v>
      </c>
      <c r="C323" s="35" t="n">
        <f aca="false">SIP_Fund2_HDFCMidcap!C67</f>
        <v>8000</v>
      </c>
      <c r="D323" s="36" t="n">
        <f aca="false">SIP_Fund2_HDFCMidcap!D67</f>
        <v>373.7937881017</v>
      </c>
      <c r="E323" s="37" t="n">
        <f aca="false">SIP_Fund2_HDFCMidcap!E67</f>
        <v>21.4021748211166</v>
      </c>
      <c r="F323" s="33" t="n">
        <f aca="false">Assumptions!$C$5-B323</f>
        <v>2146</v>
      </c>
      <c r="G323" s="36" t="n">
        <f aca="false">Assumptions!$D$21*(1+Assumptions!$F$21)^((Assumptions!$C$5-Assumptions!$C$4)/365)</f>
        <v>807.609511036577</v>
      </c>
      <c r="H323" s="35" t="n">
        <f aca="false">E323*G323</f>
        <v>17284.5999424013</v>
      </c>
      <c r="I323" s="47" t="n">
        <f aca="false">IF(F323&lt;365,Assumptions!$G$21,IF(F323&lt;=730,Assumptions!$H$21,Assumptions!$I$21))</f>
        <v>0</v>
      </c>
      <c r="J323" s="35" t="n">
        <f aca="false">H323*I323</f>
        <v>0</v>
      </c>
      <c r="K323" s="35" t="n">
        <f aca="false">H323-J323</f>
        <v>17284.5999424013</v>
      </c>
      <c r="L323" s="35" t="n">
        <f aca="false">K323-C323</f>
        <v>9284.59994240133</v>
      </c>
      <c r="M323" s="33" t="str">
        <f aca="false">IF(F323&gt;365,"LTCG","STCG")</f>
        <v>LTCG</v>
      </c>
      <c r="N323" s="47" t="n">
        <f aca="false">IF(M323="LTCG",Assumptions!$C$12,Assumptions!$C$11)</f>
        <v>0.125</v>
      </c>
      <c r="O323" s="33" t="str">
        <f aca="false">IF(M323="STCG",MAX(L323,0)*Assumptions!$C$11,"agg. below")</f>
        <v>agg. below</v>
      </c>
    </row>
    <row r="324" customFormat="false" ht="15" hidden="false" customHeight="false" outlineLevel="1" collapsed="false">
      <c r="A324" s="38" t="str">
        <f aca="false">TEXT(SIP_Fund2_HDFCMidcap!B68,"mmm-yyyy")</f>
        <v>Apr-2030</v>
      </c>
      <c r="B324" s="39" t="n">
        <f aca="false">SIP_Fund2_HDFCMidcap!B68</f>
        <v>47574</v>
      </c>
      <c r="C324" s="40" t="n">
        <f aca="false">SIP_Fund2_HDFCMidcap!C68</f>
        <v>8000</v>
      </c>
      <c r="D324" s="41" t="n">
        <f aca="false">SIP_Fund2_HDFCMidcap!D68</f>
        <v>377.976757036986</v>
      </c>
      <c r="E324" s="42" t="n">
        <f aca="false">SIP_Fund2_HDFCMidcap!E68</f>
        <v>21.1653226053188</v>
      </c>
      <c r="F324" s="38" t="n">
        <f aca="false">Assumptions!$C$5-B324</f>
        <v>2115</v>
      </c>
      <c r="G324" s="41" t="n">
        <f aca="false">Assumptions!$D$21*(1+Assumptions!$F$21)^((Assumptions!$C$5-Assumptions!$C$4)/365)</f>
        <v>807.609511036577</v>
      </c>
      <c r="H324" s="40" t="n">
        <f aca="false">E324*G324</f>
        <v>17093.3158402129</v>
      </c>
      <c r="I324" s="48" t="n">
        <f aca="false">IF(F324&lt;365,Assumptions!$G$21,IF(F324&lt;=730,Assumptions!$H$21,Assumptions!$I$21))</f>
        <v>0</v>
      </c>
      <c r="J324" s="40" t="n">
        <f aca="false">H324*I324</f>
        <v>0</v>
      </c>
      <c r="K324" s="40" t="n">
        <f aca="false">H324-J324</f>
        <v>17093.3158402129</v>
      </c>
      <c r="L324" s="40" t="n">
        <f aca="false">K324-C324</f>
        <v>9093.31584021292</v>
      </c>
      <c r="M324" s="38" t="str">
        <f aca="false">IF(F324&gt;365,"LTCG","STCG")</f>
        <v>LTCG</v>
      </c>
      <c r="N324" s="48" t="n">
        <f aca="false">IF(M324="LTCG",Assumptions!$C$12,Assumptions!$C$11)</f>
        <v>0.125</v>
      </c>
      <c r="O324" s="38" t="str">
        <f aca="false">IF(M324="STCG",MAX(L324,0)*Assumptions!$C$11,"agg. below")</f>
        <v>agg. below</v>
      </c>
    </row>
    <row r="325" customFormat="false" ht="15" hidden="false" customHeight="false" outlineLevel="1" collapsed="false">
      <c r="A325" s="33" t="str">
        <f aca="false">TEXT(SIP_Fund2_HDFCMidcap!B69,"mmm-yyyy")</f>
        <v>May-2030</v>
      </c>
      <c r="B325" s="34" t="n">
        <f aca="false">SIP_Fund2_HDFCMidcap!B69</f>
        <v>47604</v>
      </c>
      <c r="C325" s="35" t="n">
        <f aca="false">SIP_Fund2_HDFCMidcap!C69</f>
        <v>8000</v>
      </c>
      <c r="D325" s="36" t="n">
        <f aca="false">SIP_Fund2_HDFCMidcap!D69</f>
        <v>382.069355349773</v>
      </c>
      <c r="E325" s="37" t="n">
        <f aca="false">SIP_Fund2_HDFCMidcap!E69</f>
        <v>20.9386067947696</v>
      </c>
      <c r="F325" s="33" t="n">
        <f aca="false">Assumptions!$C$5-B325</f>
        <v>2085</v>
      </c>
      <c r="G325" s="36" t="n">
        <f aca="false">Assumptions!$D$21*(1+Assumptions!$F$21)^((Assumptions!$C$5-Assumptions!$C$4)/365)</f>
        <v>807.609511036577</v>
      </c>
      <c r="H325" s="35" t="n">
        <f aca="false">E325*G325</f>
        <v>16910.2179953111</v>
      </c>
      <c r="I325" s="47" t="n">
        <f aca="false">IF(F325&lt;365,Assumptions!$G$21,IF(F325&lt;=730,Assumptions!$H$21,Assumptions!$I$21))</f>
        <v>0</v>
      </c>
      <c r="J325" s="35" t="n">
        <f aca="false">H325*I325</f>
        <v>0</v>
      </c>
      <c r="K325" s="35" t="n">
        <f aca="false">H325-J325</f>
        <v>16910.2179953111</v>
      </c>
      <c r="L325" s="35" t="n">
        <f aca="false">K325-C325</f>
        <v>8910.21799531105</v>
      </c>
      <c r="M325" s="33" t="str">
        <f aca="false">IF(F325&gt;365,"LTCG","STCG")</f>
        <v>LTCG</v>
      </c>
      <c r="N325" s="47" t="n">
        <f aca="false">IF(M325="LTCG",Assumptions!$C$12,Assumptions!$C$11)</f>
        <v>0.125</v>
      </c>
      <c r="O325" s="33" t="str">
        <f aca="false">IF(M325="STCG",MAX(L325,0)*Assumptions!$C$11,"agg. below")</f>
        <v>agg. below</v>
      </c>
    </row>
    <row r="326" customFormat="false" ht="15" hidden="false" customHeight="false" outlineLevel="1" collapsed="false">
      <c r="A326" s="38" t="str">
        <f aca="false">TEXT(SIP_Fund2_HDFCMidcap!B70,"mmm-yyyy")</f>
        <v>Jun-2030</v>
      </c>
      <c r="B326" s="39" t="n">
        <f aca="false">SIP_Fund2_HDFCMidcap!B70</f>
        <v>47635</v>
      </c>
      <c r="C326" s="40" t="n">
        <f aca="false">SIP_Fund2_HDFCMidcap!C70</f>
        <v>8000</v>
      </c>
      <c r="D326" s="41" t="n">
        <f aca="false">SIP_Fund2_HDFCMidcap!D70</f>
        <v>386.344932674557</v>
      </c>
      <c r="E326" s="42" t="n">
        <f aca="false">SIP_Fund2_HDFCMidcap!E70</f>
        <v>20.7068847638774</v>
      </c>
      <c r="F326" s="38" t="n">
        <f aca="false">Assumptions!$C$5-B326</f>
        <v>2054</v>
      </c>
      <c r="G326" s="41" t="n">
        <f aca="false">Assumptions!$D$21*(1+Assumptions!$F$21)^((Assumptions!$C$5-Assumptions!$C$4)/365)</f>
        <v>807.609511036577</v>
      </c>
      <c r="H326" s="40" t="n">
        <f aca="false">E326*G326</f>
        <v>16723.0770792457</v>
      </c>
      <c r="I326" s="48" t="n">
        <f aca="false">IF(F326&lt;365,Assumptions!$G$21,IF(F326&lt;=730,Assumptions!$H$21,Assumptions!$I$21))</f>
        <v>0</v>
      </c>
      <c r="J326" s="40" t="n">
        <f aca="false">H326*I326</f>
        <v>0</v>
      </c>
      <c r="K326" s="40" t="n">
        <f aca="false">H326-J326</f>
        <v>16723.0770792457</v>
      </c>
      <c r="L326" s="40" t="n">
        <f aca="false">K326-C326</f>
        <v>8723.07707924574</v>
      </c>
      <c r="M326" s="38" t="str">
        <f aca="false">IF(F326&gt;365,"LTCG","STCG")</f>
        <v>LTCG</v>
      </c>
      <c r="N326" s="48" t="n">
        <f aca="false">IF(M326="LTCG",Assumptions!$C$12,Assumptions!$C$11)</f>
        <v>0.125</v>
      </c>
      <c r="O326" s="38" t="str">
        <f aca="false">IF(M326="STCG",MAX(L326,0)*Assumptions!$C$11,"agg. below")</f>
        <v>agg. below</v>
      </c>
    </row>
    <row r="327" customFormat="false" ht="15" hidden="false" customHeight="false" outlineLevel="1" collapsed="false">
      <c r="A327" s="33" t="str">
        <f aca="false">TEXT(SIP_Fund2_HDFCMidcap!B71,"mmm-yyyy")</f>
        <v>Jul-2030</v>
      </c>
      <c r="B327" s="34" t="n">
        <f aca="false">SIP_Fund2_HDFCMidcap!B71</f>
        <v>47665</v>
      </c>
      <c r="C327" s="35" t="n">
        <f aca="false">SIP_Fund2_HDFCMidcap!C71</f>
        <v>8000</v>
      </c>
      <c r="D327" s="36" t="n">
        <f aca="false">SIP_Fund2_HDFCMidcap!D71</f>
        <v>390.528138626194</v>
      </c>
      <c r="E327" s="37" t="n">
        <f aca="false">SIP_Fund2_HDFCMidcap!E71</f>
        <v>20.4850795851549</v>
      </c>
      <c r="F327" s="33" t="n">
        <f aca="false">Assumptions!$C$5-B327</f>
        <v>2024</v>
      </c>
      <c r="G327" s="36" t="n">
        <f aca="false">Assumptions!$D$21*(1+Assumptions!$F$21)^((Assumptions!$C$5-Assumptions!$C$4)/365)</f>
        <v>807.609511036577</v>
      </c>
      <c r="H327" s="35" t="n">
        <f aca="false">E327*G327</f>
        <v>16543.9451073124</v>
      </c>
      <c r="I327" s="47" t="n">
        <f aca="false">IF(F327&lt;365,Assumptions!$G$21,IF(F327&lt;=730,Assumptions!$H$21,Assumptions!$I$21))</f>
        <v>0</v>
      </c>
      <c r="J327" s="35" t="n">
        <f aca="false">H327*I327</f>
        <v>0</v>
      </c>
      <c r="K327" s="35" t="n">
        <f aca="false">H327-J327</f>
        <v>16543.9451073124</v>
      </c>
      <c r="L327" s="35" t="n">
        <f aca="false">K327-C327</f>
        <v>8543.94510731235</v>
      </c>
      <c r="M327" s="33" t="str">
        <f aca="false">IF(F327&gt;365,"LTCG","STCG")</f>
        <v>LTCG</v>
      </c>
      <c r="N327" s="47" t="n">
        <f aca="false">IF(M327="LTCG",Assumptions!$C$12,Assumptions!$C$11)</f>
        <v>0.125</v>
      </c>
      <c r="O327" s="33" t="str">
        <f aca="false">IF(M327="STCG",MAX(L327,0)*Assumptions!$C$11,"agg. below")</f>
        <v>agg. below</v>
      </c>
    </row>
    <row r="328" customFormat="false" ht="15" hidden="false" customHeight="false" outlineLevel="1" collapsed="false">
      <c r="A328" s="38" t="str">
        <f aca="false">TEXT(SIP_Fund2_HDFCMidcap!B72,"mmm-yyyy")</f>
        <v>Aug-2030</v>
      </c>
      <c r="B328" s="39" t="n">
        <f aca="false">SIP_Fund2_HDFCMidcap!B72</f>
        <v>47696</v>
      </c>
      <c r="C328" s="40" t="n">
        <f aca="false">SIP_Fund2_HDFCMidcap!C72</f>
        <v>8000</v>
      </c>
      <c r="D328" s="41" t="n">
        <f aca="false">SIP_Fund2_HDFCMidcap!D72</f>
        <v>394.898374633925</v>
      </c>
      <c r="E328" s="42" t="n">
        <f aca="false">SIP_Fund2_HDFCMidcap!E72</f>
        <v>20.2583766201015</v>
      </c>
      <c r="F328" s="38" t="n">
        <f aca="false">Assumptions!$C$5-B328</f>
        <v>1993</v>
      </c>
      <c r="G328" s="41" t="n">
        <f aca="false">Assumptions!$D$21*(1+Assumptions!$F$21)^((Assumptions!$C$5-Assumptions!$C$4)/365)</f>
        <v>807.609511036577</v>
      </c>
      <c r="H328" s="40" t="n">
        <f aca="false">E328*G328</f>
        <v>16360.857636555</v>
      </c>
      <c r="I328" s="48" t="n">
        <f aca="false">IF(F328&lt;365,Assumptions!$G$21,IF(F328&lt;=730,Assumptions!$H$21,Assumptions!$I$21))</f>
        <v>0</v>
      </c>
      <c r="J328" s="40" t="n">
        <f aca="false">H328*I328</f>
        <v>0</v>
      </c>
      <c r="K328" s="40" t="n">
        <f aca="false">H328-J328</f>
        <v>16360.857636555</v>
      </c>
      <c r="L328" s="40" t="n">
        <f aca="false">K328-C328</f>
        <v>8360.85763655502</v>
      </c>
      <c r="M328" s="38" t="str">
        <f aca="false">IF(F328&gt;365,"LTCG","STCG")</f>
        <v>LTCG</v>
      </c>
      <c r="N328" s="48" t="n">
        <f aca="false">IF(M328="LTCG",Assumptions!$C$12,Assumptions!$C$11)</f>
        <v>0.125</v>
      </c>
      <c r="O328" s="38" t="str">
        <f aca="false">IF(M328="STCG",MAX(L328,0)*Assumptions!$C$11,"agg. below")</f>
        <v>agg. below</v>
      </c>
    </row>
    <row r="329" customFormat="false" ht="15" hidden="false" customHeight="false" outlineLevel="1" collapsed="false">
      <c r="A329" s="33" t="str">
        <f aca="false">TEXT(SIP_Fund2_HDFCMidcap!B73,"mmm-yyyy")</f>
        <v>Sep-2030</v>
      </c>
      <c r="B329" s="34" t="n">
        <f aca="false">SIP_Fund2_HDFCMidcap!B73</f>
        <v>47727</v>
      </c>
      <c r="C329" s="35" t="n">
        <f aca="false">SIP_Fund2_HDFCMidcap!C73</f>
        <v>8000</v>
      </c>
      <c r="D329" s="36" t="n">
        <f aca="false">SIP_Fund2_HDFCMidcap!D73</f>
        <v>399.317516113181</v>
      </c>
      <c r="E329" s="37" t="n">
        <f aca="false">SIP_Fund2_HDFCMidcap!E73</f>
        <v>20.0341825168834</v>
      </c>
      <c r="F329" s="33" t="n">
        <f aca="false">Assumptions!$C$5-B329</f>
        <v>1962</v>
      </c>
      <c r="G329" s="36" t="n">
        <f aca="false">Assumptions!$D$21*(1+Assumptions!$F$21)^((Assumptions!$C$5-Assumptions!$C$4)/365)</f>
        <v>807.609511036577</v>
      </c>
      <c r="H329" s="35" t="n">
        <f aca="false">E329*G329</f>
        <v>16179.7963464777</v>
      </c>
      <c r="I329" s="47" t="n">
        <f aca="false">IF(F329&lt;365,Assumptions!$G$21,IF(F329&lt;=730,Assumptions!$H$21,Assumptions!$I$21))</f>
        <v>0</v>
      </c>
      <c r="J329" s="35" t="n">
        <f aca="false">H329*I329</f>
        <v>0</v>
      </c>
      <c r="K329" s="35" t="n">
        <f aca="false">H329-J329</f>
        <v>16179.7963464777</v>
      </c>
      <c r="L329" s="35" t="n">
        <f aca="false">K329-C329</f>
        <v>8179.79634647774</v>
      </c>
      <c r="M329" s="33" t="str">
        <f aca="false">IF(F329&gt;365,"LTCG","STCG")</f>
        <v>LTCG</v>
      </c>
      <c r="N329" s="47" t="n">
        <f aca="false">IF(M329="LTCG",Assumptions!$C$12,Assumptions!$C$11)</f>
        <v>0.125</v>
      </c>
      <c r="O329" s="33" t="str">
        <f aca="false">IF(M329="STCG",MAX(L329,0)*Assumptions!$C$11,"agg. below")</f>
        <v>agg. below</v>
      </c>
    </row>
    <row r="330" customFormat="false" ht="15" hidden="false" customHeight="false" outlineLevel="1" collapsed="false">
      <c r="A330" s="38" t="str">
        <f aca="false">TEXT(SIP_Fund2_HDFCMidcap!B74,"mmm-yyyy")</f>
        <v>Oct-2030</v>
      </c>
      <c r="B330" s="39" t="n">
        <f aca="false">SIP_Fund2_HDFCMidcap!B74</f>
        <v>47757</v>
      </c>
      <c r="C330" s="40" t="n">
        <f aca="false">SIP_Fund2_HDFCMidcap!C74</f>
        <v>8000</v>
      </c>
      <c r="D330" s="41" t="n">
        <f aca="false">SIP_Fund2_HDFCMidcap!D74</f>
        <v>403.641184598837</v>
      </c>
      <c r="E330" s="42" t="n">
        <f aca="false">SIP_Fund2_HDFCMidcap!E74</f>
        <v>19.819583098169</v>
      </c>
      <c r="F330" s="38" t="n">
        <f aca="false">Assumptions!$C$5-B330</f>
        <v>1932</v>
      </c>
      <c r="G330" s="41" t="n">
        <f aca="false">Assumptions!$D$21*(1+Assumptions!$F$21)^((Assumptions!$C$5-Assumptions!$C$4)/365)</f>
        <v>807.609511036577</v>
      </c>
      <c r="H330" s="40" t="n">
        <f aca="false">E330*G330</f>
        <v>16006.483814861</v>
      </c>
      <c r="I330" s="48" t="n">
        <f aca="false">IF(F330&lt;365,Assumptions!$G$21,IF(F330&lt;=730,Assumptions!$H$21,Assumptions!$I$21))</f>
        <v>0</v>
      </c>
      <c r="J330" s="40" t="n">
        <f aca="false">H330*I330</f>
        <v>0</v>
      </c>
      <c r="K330" s="40" t="n">
        <f aca="false">H330-J330</f>
        <v>16006.483814861</v>
      </c>
      <c r="L330" s="40" t="n">
        <f aca="false">K330-C330</f>
        <v>8006.48381486104</v>
      </c>
      <c r="M330" s="38" t="str">
        <f aca="false">IF(F330&gt;365,"LTCG","STCG")</f>
        <v>LTCG</v>
      </c>
      <c r="N330" s="48" t="n">
        <f aca="false">IF(M330="LTCG",Assumptions!$C$12,Assumptions!$C$11)</f>
        <v>0.125</v>
      </c>
      <c r="O330" s="38" t="str">
        <f aca="false">IF(M330="STCG",MAX(L330,0)*Assumptions!$C$11,"agg. below")</f>
        <v>agg. below</v>
      </c>
    </row>
    <row r="331" customFormat="false" ht="15" hidden="false" customHeight="false" outlineLevel="1" collapsed="false">
      <c r="A331" s="33" t="str">
        <f aca="false">TEXT(SIP_Fund2_HDFCMidcap!B75,"mmm-yyyy")</f>
        <v>Nov-2030</v>
      </c>
      <c r="B331" s="34" t="n">
        <f aca="false">SIP_Fund2_HDFCMidcap!B75</f>
        <v>47788</v>
      </c>
      <c r="C331" s="35" t="n">
        <f aca="false">SIP_Fund2_HDFCMidcap!C75</f>
        <v>8000</v>
      </c>
      <c r="D331" s="36" t="n">
        <f aca="false">SIP_Fund2_HDFCMidcap!D75</f>
        <v>408.158163184151</v>
      </c>
      <c r="E331" s="37" t="n">
        <f aca="false">SIP_Fund2_HDFCMidcap!E75</f>
        <v>19.6002450069597</v>
      </c>
      <c r="F331" s="33" t="n">
        <f aca="false">Assumptions!$C$5-B331</f>
        <v>1901</v>
      </c>
      <c r="G331" s="36" t="n">
        <f aca="false">Assumptions!$D$21*(1+Assumptions!$F$21)^((Assumptions!$C$5-Assumptions!$C$4)/365)</f>
        <v>807.609511036577</v>
      </c>
      <c r="H331" s="35" t="n">
        <f aca="false">E331*G331</f>
        <v>15829.3442862678</v>
      </c>
      <c r="I331" s="47" t="n">
        <f aca="false">IF(F331&lt;365,Assumptions!$G$21,IF(F331&lt;=730,Assumptions!$H$21,Assumptions!$I$21))</f>
        <v>0</v>
      </c>
      <c r="J331" s="35" t="n">
        <f aca="false">H331*I331</f>
        <v>0</v>
      </c>
      <c r="K331" s="35" t="n">
        <f aca="false">H331-J331</f>
        <v>15829.3442862678</v>
      </c>
      <c r="L331" s="35" t="n">
        <f aca="false">K331-C331</f>
        <v>7829.34428626784</v>
      </c>
      <c r="M331" s="33" t="str">
        <f aca="false">IF(F331&gt;365,"LTCG","STCG")</f>
        <v>LTCG</v>
      </c>
      <c r="N331" s="47" t="n">
        <f aca="false">IF(M331="LTCG",Assumptions!$C$12,Assumptions!$C$11)</f>
        <v>0.125</v>
      </c>
      <c r="O331" s="33" t="str">
        <f aca="false">IF(M331="STCG",MAX(L331,0)*Assumptions!$C$11,"agg. below")</f>
        <v>agg. below</v>
      </c>
    </row>
    <row r="332" customFormat="false" ht="15" hidden="false" customHeight="false" outlineLevel="1" collapsed="false">
      <c r="A332" s="38" t="str">
        <f aca="false">TEXT(SIP_Fund2_HDFCMidcap!B76,"mmm-yyyy")</f>
        <v>Dec-2030</v>
      </c>
      <c r="B332" s="39" t="n">
        <f aca="false">SIP_Fund2_HDFCMidcap!B76</f>
        <v>47818</v>
      </c>
      <c r="C332" s="40" t="n">
        <f aca="false">SIP_Fund2_HDFCMidcap!C76</f>
        <v>8000</v>
      </c>
      <c r="D332" s="41" t="n">
        <f aca="false">SIP_Fund2_HDFCMidcap!D76</f>
        <v>412.577555061822</v>
      </c>
      <c r="E332" s="42" t="n">
        <f aca="false">SIP_Fund2_HDFCMidcap!E76</f>
        <v>19.3902937807687</v>
      </c>
      <c r="F332" s="38" t="n">
        <f aca="false">Assumptions!$C$5-B332</f>
        <v>1871</v>
      </c>
      <c r="G332" s="41" t="n">
        <f aca="false">Assumptions!$D$21*(1+Assumptions!$F$21)^((Assumptions!$C$5-Assumptions!$C$4)/365)</f>
        <v>807.609511036577</v>
      </c>
      <c r="H332" s="40" t="n">
        <f aca="false">E332*G332</f>
        <v>15659.7856791422</v>
      </c>
      <c r="I332" s="48" t="n">
        <f aca="false">IF(F332&lt;365,Assumptions!$G$21,IF(F332&lt;=730,Assumptions!$H$21,Assumptions!$I$21))</f>
        <v>0</v>
      </c>
      <c r="J332" s="40" t="n">
        <f aca="false">H332*I332</f>
        <v>0</v>
      </c>
      <c r="K332" s="40" t="n">
        <f aca="false">H332-J332</f>
        <v>15659.7856791422</v>
      </c>
      <c r="L332" s="40" t="n">
        <f aca="false">K332-C332</f>
        <v>7659.78567914219</v>
      </c>
      <c r="M332" s="38" t="str">
        <f aca="false">IF(F332&gt;365,"LTCG","STCG")</f>
        <v>LTCG</v>
      </c>
      <c r="N332" s="48" t="n">
        <f aca="false">IF(M332="LTCG",Assumptions!$C$12,Assumptions!$C$11)</f>
        <v>0.125</v>
      </c>
      <c r="O332" s="38" t="str">
        <f aca="false">IF(M332="STCG",MAX(L332,0)*Assumptions!$C$11,"agg. below")</f>
        <v>agg. below</v>
      </c>
    </row>
    <row r="333" customFormat="false" ht="15" hidden="false" customHeight="false" outlineLevel="1" collapsed="false">
      <c r="A333" s="33" t="str">
        <f aca="false">TEXT(SIP_Fund2_HDFCMidcap!B77,"mmm-yyyy")</f>
        <v>Jan-2031</v>
      </c>
      <c r="B333" s="34" t="n">
        <f aca="false">SIP_Fund2_HDFCMidcap!B77</f>
        <v>47849</v>
      </c>
      <c r="C333" s="35" t="n">
        <f aca="false">SIP_Fund2_HDFCMidcap!C77</f>
        <v>9000</v>
      </c>
      <c r="D333" s="36" t="n">
        <f aca="false">SIP_Fund2_HDFCMidcap!D77</f>
        <v>417.19453680725</v>
      </c>
      <c r="E333" s="37" t="n">
        <f aca="false">SIP_Fund2_HDFCMidcap!E77</f>
        <v>21.572669836178</v>
      </c>
      <c r="F333" s="33" t="n">
        <f aca="false">Assumptions!$C$5-B333</f>
        <v>1840</v>
      </c>
      <c r="G333" s="36" t="n">
        <f aca="false">Assumptions!$D$21*(1+Assumptions!$F$21)^((Assumptions!$C$5-Assumptions!$C$4)/365)</f>
        <v>807.609511036577</v>
      </c>
      <c r="H333" s="35" t="n">
        <f aca="false">E333*G333</f>
        <v>17422.2933381492</v>
      </c>
      <c r="I333" s="47" t="n">
        <f aca="false">IF(F333&lt;365,Assumptions!$G$21,IF(F333&lt;=730,Assumptions!$H$21,Assumptions!$I$21))</f>
        <v>0</v>
      </c>
      <c r="J333" s="35" t="n">
        <f aca="false">H333*I333</f>
        <v>0</v>
      </c>
      <c r="K333" s="35" t="n">
        <f aca="false">H333-J333</f>
        <v>17422.2933381492</v>
      </c>
      <c r="L333" s="35" t="n">
        <f aca="false">K333-C333</f>
        <v>8422.29333814922</v>
      </c>
      <c r="M333" s="33" t="str">
        <f aca="false">IF(F333&gt;365,"LTCG","STCG")</f>
        <v>LTCG</v>
      </c>
      <c r="N333" s="47" t="n">
        <f aca="false">IF(M333="LTCG",Assumptions!$C$12,Assumptions!$C$11)</f>
        <v>0.125</v>
      </c>
      <c r="O333" s="33" t="str">
        <f aca="false">IF(M333="STCG",MAX(L333,0)*Assumptions!$C$11,"agg. below")</f>
        <v>agg. below</v>
      </c>
    </row>
    <row r="334" customFormat="false" ht="15" hidden="false" customHeight="false" outlineLevel="1" collapsed="false">
      <c r="A334" s="38" t="str">
        <f aca="false">TEXT(SIP_Fund2_HDFCMidcap!B78,"mmm-yyyy")</f>
        <v>Feb-2031</v>
      </c>
      <c r="B334" s="39" t="n">
        <f aca="false">SIP_Fund2_HDFCMidcap!B78</f>
        <v>47880</v>
      </c>
      <c r="C334" s="40" t="n">
        <f aca="false">SIP_Fund2_HDFCMidcap!C78</f>
        <v>9000</v>
      </c>
      <c r="D334" s="41" t="n">
        <f aca="false">SIP_Fund2_HDFCMidcap!D78</f>
        <v>421.863185251886</v>
      </c>
      <c r="E334" s="42" t="n">
        <f aca="false">SIP_Fund2_HDFCMidcap!E78</f>
        <v>21.3339307970813</v>
      </c>
      <c r="F334" s="38" t="n">
        <f aca="false">Assumptions!$C$5-B334</f>
        <v>1809</v>
      </c>
      <c r="G334" s="41" t="n">
        <f aca="false">Assumptions!$D$21*(1+Assumptions!$F$21)^((Assumptions!$C$5-Assumptions!$C$4)/365)</f>
        <v>807.609511036577</v>
      </c>
      <c r="H334" s="40" t="n">
        <f aca="false">E334*G334</f>
        <v>17229.485419519</v>
      </c>
      <c r="I334" s="48" t="n">
        <f aca="false">IF(F334&lt;365,Assumptions!$G$21,IF(F334&lt;=730,Assumptions!$H$21,Assumptions!$I$21))</f>
        <v>0</v>
      </c>
      <c r="J334" s="40" t="n">
        <f aca="false">H334*I334</f>
        <v>0</v>
      </c>
      <c r="K334" s="40" t="n">
        <f aca="false">H334-J334</f>
        <v>17229.485419519</v>
      </c>
      <c r="L334" s="40" t="n">
        <f aca="false">K334-C334</f>
        <v>8229.48541951898</v>
      </c>
      <c r="M334" s="38" t="str">
        <f aca="false">IF(F334&gt;365,"LTCG","STCG")</f>
        <v>LTCG</v>
      </c>
      <c r="N334" s="48" t="n">
        <f aca="false">IF(M334="LTCG",Assumptions!$C$12,Assumptions!$C$11)</f>
        <v>0.125</v>
      </c>
      <c r="O334" s="38" t="str">
        <f aca="false">IF(M334="STCG",MAX(L334,0)*Assumptions!$C$11,"agg. below")</f>
        <v>agg. below</v>
      </c>
    </row>
    <row r="335" customFormat="false" ht="15" hidden="false" customHeight="false" outlineLevel="1" collapsed="false">
      <c r="A335" s="33" t="str">
        <f aca="false">TEXT(SIP_Fund2_HDFCMidcap!B79,"mmm-yyyy")</f>
        <v>Mar-2031</v>
      </c>
      <c r="B335" s="34" t="n">
        <f aca="false">SIP_Fund2_HDFCMidcap!B79</f>
        <v>47908</v>
      </c>
      <c r="C335" s="35" t="n">
        <f aca="false">SIP_Fund2_HDFCMidcap!C79</f>
        <v>9000</v>
      </c>
      <c r="D335" s="36" t="n">
        <f aca="false">SIP_Fund2_HDFCMidcap!D79</f>
        <v>426.124918435938</v>
      </c>
      <c r="E335" s="37" t="n">
        <f aca="false">SIP_Fund2_HDFCMidcap!E79</f>
        <v>21.1205672576809</v>
      </c>
      <c r="F335" s="33" t="n">
        <f aca="false">Assumptions!$C$5-B335</f>
        <v>1781</v>
      </c>
      <c r="G335" s="36" t="n">
        <f aca="false">Assumptions!$D$21*(1+Assumptions!$F$21)^((Assumptions!$C$5-Assumptions!$C$4)/365)</f>
        <v>807.609511036577</v>
      </c>
      <c r="H335" s="35" t="n">
        <f aca="false">E335*G335</f>
        <v>17057.1709957908</v>
      </c>
      <c r="I335" s="47" t="n">
        <f aca="false">IF(F335&lt;365,Assumptions!$G$21,IF(F335&lt;=730,Assumptions!$H$21,Assumptions!$I$21))</f>
        <v>0</v>
      </c>
      <c r="J335" s="35" t="n">
        <f aca="false">H335*I335</f>
        <v>0</v>
      </c>
      <c r="K335" s="35" t="n">
        <f aca="false">H335-J335</f>
        <v>17057.1709957908</v>
      </c>
      <c r="L335" s="35" t="n">
        <f aca="false">K335-C335</f>
        <v>8057.17099579078</v>
      </c>
      <c r="M335" s="33" t="str">
        <f aca="false">IF(F335&gt;365,"LTCG","STCG")</f>
        <v>LTCG</v>
      </c>
      <c r="N335" s="47" t="n">
        <f aca="false">IF(M335="LTCG",Assumptions!$C$12,Assumptions!$C$11)</f>
        <v>0.125</v>
      </c>
      <c r="O335" s="33" t="str">
        <f aca="false">IF(M335="STCG",MAX(L335,0)*Assumptions!$C$11,"agg. below")</f>
        <v>agg. below</v>
      </c>
    </row>
    <row r="336" customFormat="false" ht="15" hidden="false" customHeight="false" outlineLevel="1" collapsed="false">
      <c r="A336" s="38" t="str">
        <f aca="false">TEXT(SIP_Fund2_HDFCMidcap!B80,"mmm-yyyy")</f>
        <v>Apr-2031</v>
      </c>
      <c r="B336" s="39" t="n">
        <f aca="false">SIP_Fund2_HDFCMidcap!B80</f>
        <v>47939</v>
      </c>
      <c r="C336" s="40" t="n">
        <f aca="false">SIP_Fund2_HDFCMidcap!C80</f>
        <v>9000</v>
      </c>
      <c r="D336" s="41" t="n">
        <f aca="false">SIP_Fund2_HDFCMidcap!D80</f>
        <v>430.893503022164</v>
      </c>
      <c r="E336" s="42" t="n">
        <f aca="false">SIP_Fund2_HDFCMidcap!E80</f>
        <v>20.8868315184067</v>
      </c>
      <c r="F336" s="38" t="n">
        <f aca="false">Assumptions!$C$5-B336</f>
        <v>1750</v>
      </c>
      <c r="G336" s="41" t="n">
        <f aca="false">Assumptions!$D$21*(1+Assumptions!$F$21)^((Assumptions!$C$5-Assumptions!$C$4)/365)</f>
        <v>807.609511036577</v>
      </c>
      <c r="H336" s="40" t="n">
        <f aca="false">E336*G336</f>
        <v>16868.4037896838</v>
      </c>
      <c r="I336" s="48" t="n">
        <f aca="false">IF(F336&lt;365,Assumptions!$G$21,IF(F336&lt;=730,Assumptions!$H$21,Assumptions!$I$21))</f>
        <v>0</v>
      </c>
      <c r="J336" s="40" t="n">
        <f aca="false">H336*I336</f>
        <v>0</v>
      </c>
      <c r="K336" s="40" t="n">
        <f aca="false">H336-J336</f>
        <v>16868.4037896838</v>
      </c>
      <c r="L336" s="40" t="n">
        <f aca="false">K336-C336</f>
        <v>7868.4037896838</v>
      </c>
      <c r="M336" s="38" t="str">
        <f aca="false">IF(F336&gt;365,"LTCG","STCG")</f>
        <v>LTCG</v>
      </c>
      <c r="N336" s="48" t="n">
        <f aca="false">IF(M336="LTCG",Assumptions!$C$12,Assumptions!$C$11)</f>
        <v>0.125</v>
      </c>
      <c r="O336" s="38" t="str">
        <f aca="false">IF(M336="STCG",MAX(L336,0)*Assumptions!$C$11,"agg. below")</f>
        <v>agg. below</v>
      </c>
    </row>
    <row r="337" customFormat="false" ht="15" hidden="false" customHeight="false" outlineLevel="1" collapsed="false">
      <c r="A337" s="33" t="str">
        <f aca="false">TEXT(SIP_Fund2_HDFCMidcap!B81,"mmm-yyyy")</f>
        <v>May-2031</v>
      </c>
      <c r="B337" s="34" t="n">
        <f aca="false">SIP_Fund2_HDFCMidcap!B81</f>
        <v>47969</v>
      </c>
      <c r="C337" s="35" t="n">
        <f aca="false">SIP_Fund2_HDFCMidcap!C81</f>
        <v>9000</v>
      </c>
      <c r="D337" s="36" t="n">
        <f aca="false">SIP_Fund2_HDFCMidcap!D81</f>
        <v>435.559065098741</v>
      </c>
      <c r="E337" s="37" t="n">
        <f aca="false">SIP_Fund2_HDFCMidcap!E81</f>
        <v>20.6630988106279</v>
      </c>
      <c r="F337" s="33" t="n">
        <f aca="false">Assumptions!$C$5-B337</f>
        <v>1720</v>
      </c>
      <c r="G337" s="36" t="n">
        <f aca="false">Assumptions!$D$21*(1+Assumptions!$F$21)^((Assumptions!$C$5-Assumptions!$C$4)/365)</f>
        <v>807.609511036577</v>
      </c>
      <c r="H337" s="35" t="n">
        <f aca="false">E337*G337</f>
        <v>16687.7151269517</v>
      </c>
      <c r="I337" s="47" t="n">
        <f aca="false">IF(F337&lt;365,Assumptions!$G$21,IF(F337&lt;=730,Assumptions!$H$21,Assumptions!$I$21))</f>
        <v>0</v>
      </c>
      <c r="J337" s="35" t="n">
        <f aca="false">H337*I337</f>
        <v>0</v>
      </c>
      <c r="K337" s="35" t="n">
        <f aca="false">H337-J337</f>
        <v>16687.7151269517</v>
      </c>
      <c r="L337" s="35" t="n">
        <f aca="false">K337-C337</f>
        <v>7687.7151269517</v>
      </c>
      <c r="M337" s="33" t="str">
        <f aca="false">IF(F337&gt;365,"LTCG","STCG")</f>
        <v>LTCG</v>
      </c>
      <c r="N337" s="47" t="n">
        <f aca="false">IF(M337="LTCG",Assumptions!$C$12,Assumptions!$C$11)</f>
        <v>0.125</v>
      </c>
      <c r="O337" s="33" t="str">
        <f aca="false">IF(M337="STCG",MAX(L337,0)*Assumptions!$C$11,"agg. below")</f>
        <v>agg. below</v>
      </c>
    </row>
    <row r="338" customFormat="false" ht="15" hidden="false" customHeight="false" outlineLevel="1" collapsed="false">
      <c r="A338" s="38" t="str">
        <f aca="false">TEXT(SIP_Fund2_HDFCMidcap!B82,"mmm-yyyy")</f>
        <v>Jun-2031</v>
      </c>
      <c r="B338" s="39" t="n">
        <f aca="false">SIP_Fund2_HDFCMidcap!B82</f>
        <v>48000</v>
      </c>
      <c r="C338" s="40" t="n">
        <f aca="false">SIP_Fund2_HDFCMidcap!C82</f>
        <v>9000</v>
      </c>
      <c r="D338" s="41" t="n">
        <f aca="false">SIP_Fund2_HDFCMidcap!D82</f>
        <v>440.433223248995</v>
      </c>
      <c r="E338" s="42" t="n">
        <f aca="false">SIP_Fund2_HDFCMidcap!E82</f>
        <v>20.4344257538263</v>
      </c>
      <c r="F338" s="38" t="n">
        <f aca="false">Assumptions!$C$5-B338</f>
        <v>1689</v>
      </c>
      <c r="G338" s="41" t="n">
        <f aca="false">Assumptions!$D$21*(1+Assumptions!$F$21)^((Assumptions!$C$5-Assumptions!$C$4)/365)</f>
        <v>807.609511036577</v>
      </c>
      <c r="H338" s="40" t="n">
        <f aca="false">E338*G338</f>
        <v>16503.0365913609</v>
      </c>
      <c r="I338" s="48" t="n">
        <f aca="false">IF(F338&lt;365,Assumptions!$G$21,IF(F338&lt;=730,Assumptions!$H$21,Assumptions!$I$21))</f>
        <v>0</v>
      </c>
      <c r="J338" s="40" t="n">
        <f aca="false">H338*I338</f>
        <v>0</v>
      </c>
      <c r="K338" s="40" t="n">
        <f aca="false">H338-J338</f>
        <v>16503.0365913609</v>
      </c>
      <c r="L338" s="40" t="n">
        <f aca="false">K338-C338</f>
        <v>7503.03659136093</v>
      </c>
      <c r="M338" s="38" t="str">
        <f aca="false">IF(F338&gt;365,"LTCG","STCG")</f>
        <v>LTCG</v>
      </c>
      <c r="N338" s="48" t="n">
        <f aca="false">IF(M338="LTCG",Assumptions!$C$12,Assumptions!$C$11)</f>
        <v>0.125</v>
      </c>
      <c r="O338" s="38" t="str">
        <f aca="false">IF(M338="STCG",MAX(L338,0)*Assumptions!$C$11,"agg. below")</f>
        <v>agg. below</v>
      </c>
    </row>
    <row r="339" customFormat="false" ht="15" hidden="false" customHeight="false" outlineLevel="1" collapsed="false">
      <c r="A339" s="33" t="str">
        <f aca="false">TEXT(SIP_Fund2_HDFCMidcap!B83,"mmm-yyyy")</f>
        <v>Jul-2031</v>
      </c>
      <c r="B339" s="34" t="n">
        <f aca="false">SIP_Fund2_HDFCMidcap!B83</f>
        <v>48030</v>
      </c>
      <c r="C339" s="35" t="n">
        <f aca="false">SIP_Fund2_HDFCMidcap!C83</f>
        <v>9000</v>
      </c>
      <c r="D339" s="36" t="n">
        <f aca="false">SIP_Fund2_HDFCMidcap!D83</f>
        <v>445.202078033861</v>
      </c>
      <c r="E339" s="37" t="n">
        <f aca="false">SIP_Fund2_HDFCMidcap!E83</f>
        <v>20.2155390642976</v>
      </c>
      <c r="F339" s="33" t="n">
        <f aca="false">Assumptions!$C$5-B339</f>
        <v>1659</v>
      </c>
      <c r="G339" s="36" t="n">
        <f aca="false">Assumptions!$D$21*(1+Assumptions!$F$21)^((Assumptions!$C$5-Assumptions!$C$4)/365)</f>
        <v>807.609511036577</v>
      </c>
      <c r="H339" s="35" t="n">
        <f aca="false">E339*G339</f>
        <v>16326.2616190582</v>
      </c>
      <c r="I339" s="47" t="n">
        <f aca="false">IF(F339&lt;365,Assumptions!$G$21,IF(F339&lt;=730,Assumptions!$H$21,Assumptions!$I$21))</f>
        <v>0</v>
      </c>
      <c r="J339" s="35" t="n">
        <f aca="false">H339*I339</f>
        <v>0</v>
      </c>
      <c r="K339" s="35" t="n">
        <f aca="false">H339-J339</f>
        <v>16326.2616190582</v>
      </c>
      <c r="L339" s="35" t="n">
        <f aca="false">K339-C339</f>
        <v>7326.26161905824</v>
      </c>
      <c r="M339" s="33" t="str">
        <f aca="false">IF(F339&gt;365,"LTCG","STCG")</f>
        <v>LTCG</v>
      </c>
      <c r="N339" s="47" t="n">
        <f aca="false">IF(M339="LTCG",Assumptions!$C$12,Assumptions!$C$11)</f>
        <v>0.125</v>
      </c>
      <c r="O339" s="33" t="str">
        <f aca="false">IF(M339="STCG",MAX(L339,0)*Assumptions!$C$11,"agg. below")</f>
        <v>agg. below</v>
      </c>
    </row>
    <row r="340" customFormat="false" ht="15" hidden="false" customHeight="false" outlineLevel="1" collapsed="false">
      <c r="A340" s="38" t="str">
        <f aca="false">TEXT(SIP_Fund2_HDFCMidcap!B84,"mmm-yyyy")</f>
        <v>Aug-2031</v>
      </c>
      <c r="B340" s="39" t="n">
        <f aca="false">SIP_Fund2_HDFCMidcap!B84</f>
        <v>48061</v>
      </c>
      <c r="C340" s="40" t="n">
        <f aca="false">SIP_Fund2_HDFCMidcap!C84</f>
        <v>9000</v>
      </c>
      <c r="D340" s="41" t="n">
        <f aca="false">SIP_Fund2_HDFCMidcap!D84</f>
        <v>450.184147082675</v>
      </c>
      <c r="E340" s="42" t="n">
        <f aca="false">SIP_Fund2_HDFCMidcap!E84</f>
        <v>19.9918190329949</v>
      </c>
      <c r="F340" s="38" t="n">
        <f aca="false">Assumptions!$C$5-B340</f>
        <v>1628</v>
      </c>
      <c r="G340" s="41" t="n">
        <f aca="false">Assumptions!$D$21*(1+Assumptions!$F$21)^((Assumptions!$C$5-Assumptions!$C$4)/365)</f>
        <v>807.609511036577</v>
      </c>
      <c r="H340" s="40" t="n">
        <f aca="false">E340*G340</f>
        <v>16145.5831939688</v>
      </c>
      <c r="I340" s="48" t="n">
        <f aca="false">IF(F340&lt;365,Assumptions!$G$21,IF(F340&lt;=730,Assumptions!$H$21,Assumptions!$I$21))</f>
        <v>0</v>
      </c>
      <c r="J340" s="40" t="n">
        <f aca="false">H340*I340</f>
        <v>0</v>
      </c>
      <c r="K340" s="40" t="n">
        <f aca="false">H340-J340</f>
        <v>16145.5831939688</v>
      </c>
      <c r="L340" s="40" t="n">
        <f aca="false">K340-C340</f>
        <v>7145.58319396877</v>
      </c>
      <c r="M340" s="38" t="str">
        <f aca="false">IF(F340&gt;365,"LTCG","STCG")</f>
        <v>LTCG</v>
      </c>
      <c r="N340" s="48" t="n">
        <f aca="false">IF(M340="LTCG",Assumptions!$C$12,Assumptions!$C$11)</f>
        <v>0.125</v>
      </c>
      <c r="O340" s="38" t="str">
        <f aca="false">IF(M340="STCG",MAX(L340,0)*Assumptions!$C$11,"agg. below")</f>
        <v>agg. below</v>
      </c>
    </row>
    <row r="341" customFormat="false" ht="15" hidden="false" customHeight="false" outlineLevel="1" collapsed="false">
      <c r="A341" s="33" t="str">
        <f aca="false">TEXT(SIP_Fund2_HDFCMidcap!B85,"mmm-yyyy")</f>
        <v>Sep-2031</v>
      </c>
      <c r="B341" s="34" t="n">
        <f aca="false">SIP_Fund2_HDFCMidcap!B85</f>
        <v>48092</v>
      </c>
      <c r="C341" s="35" t="n">
        <f aca="false">SIP_Fund2_HDFCMidcap!C85</f>
        <v>9000</v>
      </c>
      <c r="D341" s="36" t="n">
        <f aca="false">SIP_Fund2_HDFCMidcap!D85</f>
        <v>455.221968369027</v>
      </c>
      <c r="E341" s="37" t="n">
        <f aca="false">SIP_Fund2_HDFCMidcap!E85</f>
        <v>19.7705748521876</v>
      </c>
      <c r="F341" s="33" t="n">
        <f aca="false">Assumptions!$C$5-B341</f>
        <v>1597</v>
      </c>
      <c r="G341" s="36" t="n">
        <f aca="false">Assumptions!$D$21*(1+Assumptions!$F$21)^((Assumptions!$C$5-Assumptions!$C$4)/365)</f>
        <v>807.609511036577</v>
      </c>
      <c r="H341" s="35" t="n">
        <f aca="false">E341*G341</f>
        <v>15966.9042892872</v>
      </c>
      <c r="I341" s="47" t="n">
        <f aca="false">IF(F341&lt;365,Assumptions!$G$21,IF(F341&lt;=730,Assumptions!$H$21,Assumptions!$I$21))</f>
        <v>0</v>
      </c>
      <c r="J341" s="35" t="n">
        <f aca="false">H341*I341</f>
        <v>0</v>
      </c>
      <c r="K341" s="35" t="n">
        <f aca="false">H341-J341</f>
        <v>15966.9042892872</v>
      </c>
      <c r="L341" s="35" t="n">
        <f aca="false">K341-C341</f>
        <v>6966.90428928724</v>
      </c>
      <c r="M341" s="33" t="str">
        <f aca="false">IF(F341&gt;365,"LTCG","STCG")</f>
        <v>LTCG</v>
      </c>
      <c r="N341" s="47" t="n">
        <f aca="false">IF(M341="LTCG",Assumptions!$C$12,Assumptions!$C$11)</f>
        <v>0.125</v>
      </c>
      <c r="O341" s="33" t="str">
        <f aca="false">IF(M341="STCG",MAX(L341,0)*Assumptions!$C$11,"agg. below")</f>
        <v>agg. below</v>
      </c>
    </row>
    <row r="342" customFormat="false" ht="15" hidden="false" customHeight="false" outlineLevel="1" collapsed="false">
      <c r="A342" s="38" t="str">
        <f aca="false">TEXT(SIP_Fund2_HDFCMidcap!B86,"mmm-yyyy")</f>
        <v>Oct-2031</v>
      </c>
      <c r="B342" s="39" t="n">
        <f aca="false">SIP_Fund2_HDFCMidcap!B86</f>
        <v>48122</v>
      </c>
      <c r="C342" s="40" t="n">
        <f aca="false">SIP_Fund2_HDFCMidcap!C86</f>
        <v>9000</v>
      </c>
      <c r="D342" s="41" t="n">
        <f aca="false">SIP_Fund2_HDFCMidcap!D86</f>
        <v>460.150950442674</v>
      </c>
      <c r="E342" s="42" t="n">
        <f aca="false">SIP_Fund2_HDFCMidcap!E86</f>
        <v>19.5587991100351</v>
      </c>
      <c r="F342" s="38" t="n">
        <f aca="false">Assumptions!$C$5-B342</f>
        <v>1567</v>
      </c>
      <c r="G342" s="41" t="n">
        <f aca="false">Assumptions!$D$21*(1+Assumptions!$F$21)^((Assumptions!$C$5-Assumptions!$C$4)/365)</f>
        <v>807.609511036577</v>
      </c>
      <c r="H342" s="40" t="n">
        <f aca="false">E342*G342</f>
        <v>15795.8721857181</v>
      </c>
      <c r="I342" s="48" t="n">
        <f aca="false">IF(F342&lt;365,Assumptions!$G$21,IF(F342&lt;=730,Assumptions!$H$21,Assumptions!$I$21))</f>
        <v>0</v>
      </c>
      <c r="J342" s="40" t="n">
        <f aca="false">H342*I342</f>
        <v>0</v>
      </c>
      <c r="K342" s="40" t="n">
        <f aca="false">H342-J342</f>
        <v>15795.8721857181</v>
      </c>
      <c r="L342" s="40" t="n">
        <f aca="false">K342-C342</f>
        <v>6795.87218571813</v>
      </c>
      <c r="M342" s="38" t="str">
        <f aca="false">IF(F342&gt;365,"LTCG","STCG")</f>
        <v>LTCG</v>
      </c>
      <c r="N342" s="48" t="n">
        <f aca="false">IF(M342="LTCG",Assumptions!$C$12,Assumptions!$C$11)</f>
        <v>0.125</v>
      </c>
      <c r="O342" s="38" t="str">
        <f aca="false">IF(M342="STCG",MAX(L342,0)*Assumptions!$C$11,"agg. below")</f>
        <v>agg. below</v>
      </c>
    </row>
    <row r="343" customFormat="false" ht="15" hidden="false" customHeight="false" outlineLevel="1" collapsed="false">
      <c r="A343" s="33" t="str">
        <f aca="false">TEXT(SIP_Fund2_HDFCMidcap!B87,"mmm-yyyy")</f>
        <v>Nov-2031</v>
      </c>
      <c r="B343" s="34" t="n">
        <f aca="false">SIP_Fund2_HDFCMidcap!B87</f>
        <v>48153</v>
      </c>
      <c r="C343" s="35" t="n">
        <f aca="false">SIP_Fund2_HDFCMidcap!C87</f>
        <v>9000</v>
      </c>
      <c r="D343" s="36" t="n">
        <f aca="false">SIP_Fund2_HDFCMidcap!D87</f>
        <v>465.300306029932</v>
      </c>
      <c r="E343" s="37" t="n">
        <f aca="false">SIP_Fund2_HDFCMidcap!E87</f>
        <v>19.3423470463418</v>
      </c>
      <c r="F343" s="33" t="n">
        <f aca="false">Assumptions!$C$5-B343</f>
        <v>1536</v>
      </c>
      <c r="G343" s="36" t="n">
        <f aca="false">Assumptions!$D$21*(1+Assumptions!$F$21)^((Assumptions!$C$5-Assumptions!$C$4)/365)</f>
        <v>807.609511036577</v>
      </c>
      <c r="H343" s="35" t="n">
        <f aca="false">E343*G343</f>
        <v>15621.0634403959</v>
      </c>
      <c r="I343" s="47" t="n">
        <f aca="false">IF(F343&lt;365,Assumptions!$G$21,IF(F343&lt;=730,Assumptions!$H$21,Assumptions!$I$21))</f>
        <v>0</v>
      </c>
      <c r="J343" s="35" t="n">
        <f aca="false">H343*I343</f>
        <v>0</v>
      </c>
      <c r="K343" s="35" t="n">
        <f aca="false">H343-J343</f>
        <v>15621.0634403959</v>
      </c>
      <c r="L343" s="35" t="n">
        <f aca="false">K343-C343</f>
        <v>6621.06344039589</v>
      </c>
      <c r="M343" s="33" t="str">
        <f aca="false">IF(F343&gt;365,"LTCG","STCG")</f>
        <v>LTCG</v>
      </c>
      <c r="N343" s="47" t="n">
        <f aca="false">IF(M343="LTCG",Assumptions!$C$12,Assumptions!$C$11)</f>
        <v>0.125</v>
      </c>
      <c r="O343" s="33" t="str">
        <f aca="false">IF(M343="STCG",MAX(L343,0)*Assumptions!$C$11,"agg. below")</f>
        <v>agg. below</v>
      </c>
    </row>
    <row r="344" customFormat="false" ht="15" hidden="false" customHeight="false" outlineLevel="1" collapsed="false">
      <c r="A344" s="38" t="str">
        <f aca="false">TEXT(SIP_Fund2_HDFCMidcap!B88,"mmm-yyyy")</f>
        <v>Dec-2031</v>
      </c>
      <c r="B344" s="39" t="n">
        <f aca="false">SIP_Fund2_HDFCMidcap!B88</f>
        <v>48183</v>
      </c>
      <c r="C344" s="40" t="n">
        <f aca="false">SIP_Fund2_HDFCMidcap!C88</f>
        <v>9000</v>
      </c>
      <c r="D344" s="41" t="n">
        <f aca="false">SIP_Fund2_HDFCMidcap!D88</f>
        <v>470.338412770477</v>
      </c>
      <c r="E344" s="42" t="n">
        <f aca="false">SIP_Fund2_HDFCMidcap!E88</f>
        <v>19.1351583362849</v>
      </c>
      <c r="F344" s="38" t="n">
        <f aca="false">Assumptions!$C$5-B344</f>
        <v>1506</v>
      </c>
      <c r="G344" s="41" t="n">
        <f aca="false">Assumptions!$D$21*(1+Assumptions!$F$21)^((Assumptions!$C$5-Assumptions!$C$4)/365)</f>
        <v>807.609511036577</v>
      </c>
      <c r="H344" s="40" t="n">
        <f aca="false">E344*G344</f>
        <v>15453.7358675745</v>
      </c>
      <c r="I344" s="48" t="n">
        <f aca="false">IF(F344&lt;365,Assumptions!$G$21,IF(F344&lt;=730,Assumptions!$H$21,Assumptions!$I$21))</f>
        <v>0</v>
      </c>
      <c r="J344" s="40" t="n">
        <f aca="false">H344*I344</f>
        <v>0</v>
      </c>
      <c r="K344" s="40" t="n">
        <f aca="false">H344-J344</f>
        <v>15453.7358675745</v>
      </c>
      <c r="L344" s="40" t="n">
        <f aca="false">K344-C344</f>
        <v>6453.73586757452</v>
      </c>
      <c r="M344" s="38" t="str">
        <f aca="false">IF(F344&gt;365,"LTCG","STCG")</f>
        <v>LTCG</v>
      </c>
      <c r="N344" s="48" t="n">
        <f aca="false">IF(M344="LTCG",Assumptions!$C$12,Assumptions!$C$11)</f>
        <v>0.125</v>
      </c>
      <c r="O344" s="38" t="str">
        <f aca="false">IF(M344="STCG",MAX(L344,0)*Assumptions!$C$11,"agg. below")</f>
        <v>agg. below</v>
      </c>
    </row>
    <row r="345" customFormat="false" ht="15" hidden="false" customHeight="false" outlineLevel="1" collapsed="false">
      <c r="A345" s="33" t="str">
        <f aca="false">TEXT(SIP_Fund2_HDFCMidcap!B89,"mmm-yyyy")</f>
        <v>Jan-2032</v>
      </c>
      <c r="B345" s="34" t="n">
        <f aca="false">SIP_Fund2_HDFCMidcap!B89</f>
        <v>48214</v>
      </c>
      <c r="C345" s="35" t="n">
        <f aca="false">SIP_Fund2_HDFCMidcap!C89</f>
        <v>10000</v>
      </c>
      <c r="D345" s="36" t="n">
        <f aca="false">SIP_Fund2_HDFCMidcap!D89</f>
        <v>475.601771960265</v>
      </c>
      <c r="E345" s="37" t="n">
        <f aca="false">SIP_Fund2_HDFCMidcap!E89</f>
        <v>21.0259939923762</v>
      </c>
      <c r="F345" s="33" t="n">
        <f aca="false">Assumptions!$C$5-B345</f>
        <v>1475</v>
      </c>
      <c r="G345" s="36" t="n">
        <f aca="false">Assumptions!$D$21*(1+Assumptions!$F$21)^((Assumptions!$C$5-Assumptions!$C$4)/365)</f>
        <v>807.609511036577</v>
      </c>
      <c r="H345" s="35" t="n">
        <f aca="false">E345*G345</f>
        <v>16980.792727241</v>
      </c>
      <c r="I345" s="47" t="n">
        <f aca="false">IF(F345&lt;365,Assumptions!$G$21,IF(F345&lt;=730,Assumptions!$H$21,Assumptions!$I$21))</f>
        <v>0</v>
      </c>
      <c r="J345" s="35" t="n">
        <f aca="false">H345*I345</f>
        <v>0</v>
      </c>
      <c r="K345" s="35" t="n">
        <f aca="false">H345-J345</f>
        <v>16980.792727241</v>
      </c>
      <c r="L345" s="35" t="n">
        <f aca="false">K345-C345</f>
        <v>6980.79272724096</v>
      </c>
      <c r="M345" s="33" t="str">
        <f aca="false">IF(F345&gt;365,"LTCG","STCG")</f>
        <v>LTCG</v>
      </c>
      <c r="N345" s="47" t="n">
        <f aca="false">IF(M345="LTCG",Assumptions!$C$12,Assumptions!$C$11)</f>
        <v>0.125</v>
      </c>
      <c r="O345" s="33" t="str">
        <f aca="false">IF(M345="STCG",MAX(L345,0)*Assumptions!$C$11,"agg. below")</f>
        <v>agg. below</v>
      </c>
    </row>
    <row r="346" customFormat="false" ht="15" hidden="false" customHeight="false" outlineLevel="1" collapsed="false">
      <c r="A346" s="38" t="str">
        <f aca="false">TEXT(SIP_Fund2_HDFCMidcap!B90,"mmm-yyyy")</f>
        <v>Feb-2032</v>
      </c>
      <c r="B346" s="39" t="n">
        <f aca="false">SIP_Fund2_HDFCMidcap!B90</f>
        <v>48245</v>
      </c>
      <c r="C346" s="40" t="n">
        <f aca="false">SIP_Fund2_HDFCMidcap!C90</f>
        <v>10000</v>
      </c>
      <c r="D346" s="41" t="n">
        <f aca="false">SIP_Fund2_HDFCMidcap!D90</f>
        <v>480.92403118715</v>
      </c>
      <c r="E346" s="42" t="n">
        <f aca="false">SIP_Fund2_HDFCMidcap!E90</f>
        <v>20.7933048704496</v>
      </c>
      <c r="F346" s="38" t="n">
        <f aca="false">Assumptions!$C$5-B346</f>
        <v>1444</v>
      </c>
      <c r="G346" s="41" t="n">
        <f aca="false">Assumptions!$D$21*(1+Assumptions!$F$21)^((Assumptions!$C$5-Assumptions!$C$4)/365)</f>
        <v>807.609511036577</v>
      </c>
      <c r="H346" s="40" t="n">
        <f aca="false">E346*G346</f>
        <v>16792.8707792583</v>
      </c>
      <c r="I346" s="48" t="n">
        <f aca="false">IF(F346&lt;365,Assumptions!$G$21,IF(F346&lt;=730,Assumptions!$H$21,Assumptions!$I$21))</f>
        <v>0</v>
      </c>
      <c r="J346" s="40" t="n">
        <f aca="false">H346*I346</f>
        <v>0</v>
      </c>
      <c r="K346" s="40" t="n">
        <f aca="false">H346-J346</f>
        <v>16792.8707792583</v>
      </c>
      <c r="L346" s="40" t="n">
        <f aca="false">K346-C346</f>
        <v>6792.87077925826</v>
      </c>
      <c r="M346" s="38" t="str">
        <f aca="false">IF(F346&gt;365,"LTCG","STCG")</f>
        <v>LTCG</v>
      </c>
      <c r="N346" s="48" t="n">
        <f aca="false">IF(M346="LTCG",Assumptions!$C$12,Assumptions!$C$11)</f>
        <v>0.125</v>
      </c>
      <c r="O346" s="38" t="str">
        <f aca="false">IF(M346="STCG",MAX(L346,0)*Assumptions!$C$11,"agg. below")</f>
        <v>agg. below</v>
      </c>
    </row>
    <row r="347" customFormat="false" ht="15" hidden="false" customHeight="false" outlineLevel="1" collapsed="false">
      <c r="A347" s="33" t="str">
        <f aca="false">TEXT(SIP_Fund2_HDFCMidcap!B91,"mmm-yyyy")</f>
        <v>Mar-2032</v>
      </c>
      <c r="B347" s="34" t="n">
        <f aca="false">SIP_Fund2_HDFCMidcap!B91</f>
        <v>48274</v>
      </c>
      <c r="C347" s="35" t="n">
        <f aca="false">SIP_Fund2_HDFCMidcap!C91</f>
        <v>10000</v>
      </c>
      <c r="D347" s="36" t="n">
        <f aca="false">SIP_Fund2_HDFCMidcap!D91</f>
        <v>485.956825238541</v>
      </c>
      <c r="E347" s="37" t="n">
        <f aca="false">SIP_Fund2_HDFCMidcap!E91</f>
        <v>20.5779597705852</v>
      </c>
      <c r="F347" s="33" t="n">
        <f aca="false">Assumptions!$C$5-B347</f>
        <v>1415</v>
      </c>
      <c r="G347" s="36" t="n">
        <f aca="false">Assumptions!$D$21*(1+Assumptions!$F$21)^((Assumptions!$C$5-Assumptions!$C$4)/365)</f>
        <v>807.609511036577</v>
      </c>
      <c r="H347" s="35" t="n">
        <f aca="false">E347*G347</f>
        <v>16618.9560284527</v>
      </c>
      <c r="I347" s="47" t="n">
        <f aca="false">IF(F347&lt;365,Assumptions!$G$21,IF(F347&lt;=730,Assumptions!$H$21,Assumptions!$I$21))</f>
        <v>0</v>
      </c>
      <c r="J347" s="35" t="n">
        <f aca="false">H347*I347</f>
        <v>0</v>
      </c>
      <c r="K347" s="35" t="n">
        <f aca="false">H347-J347</f>
        <v>16618.9560284527</v>
      </c>
      <c r="L347" s="35" t="n">
        <f aca="false">K347-C347</f>
        <v>6618.95602845267</v>
      </c>
      <c r="M347" s="33" t="str">
        <f aca="false">IF(F347&gt;365,"LTCG","STCG")</f>
        <v>LTCG</v>
      </c>
      <c r="N347" s="47" t="n">
        <f aca="false">IF(M347="LTCG",Assumptions!$C$12,Assumptions!$C$11)</f>
        <v>0.125</v>
      </c>
      <c r="O347" s="33" t="str">
        <f aca="false">IF(M347="STCG",MAX(L347,0)*Assumptions!$C$11,"agg. below")</f>
        <v>agg. below</v>
      </c>
    </row>
    <row r="348" customFormat="false" ht="15" hidden="false" customHeight="false" outlineLevel="1" collapsed="false">
      <c r="A348" s="38" t="str">
        <f aca="false">TEXT(SIP_Fund2_HDFCMidcap!B92,"mmm-yyyy")</f>
        <v>Apr-2032</v>
      </c>
      <c r="B348" s="39" t="n">
        <f aca="false">SIP_Fund2_HDFCMidcap!B92</f>
        <v>48305</v>
      </c>
      <c r="C348" s="40" t="n">
        <f aca="false">SIP_Fund2_HDFCMidcap!C92</f>
        <v>10000</v>
      </c>
      <c r="D348" s="41" t="n">
        <f aca="false">SIP_Fund2_HDFCMidcap!D92</f>
        <v>491.394963507735</v>
      </c>
      <c r="E348" s="42" t="n">
        <f aca="false">SIP_Fund2_HDFCMidcap!E92</f>
        <v>20.350228925052</v>
      </c>
      <c r="F348" s="38" t="n">
        <f aca="false">Assumptions!$C$5-B348</f>
        <v>1384</v>
      </c>
      <c r="G348" s="41" t="n">
        <f aca="false">Assumptions!$D$21*(1+Assumptions!$F$21)^((Assumptions!$C$5-Assumptions!$C$4)/365)</f>
        <v>807.609511036577</v>
      </c>
      <c r="H348" s="40" t="n">
        <f aca="false">E348*G348</f>
        <v>16435.0384316437</v>
      </c>
      <c r="I348" s="48" t="n">
        <f aca="false">IF(F348&lt;365,Assumptions!$G$21,IF(F348&lt;=730,Assumptions!$H$21,Assumptions!$I$21))</f>
        <v>0</v>
      </c>
      <c r="J348" s="40" t="n">
        <f aca="false">H348*I348</f>
        <v>0</v>
      </c>
      <c r="K348" s="40" t="n">
        <f aca="false">H348-J348</f>
        <v>16435.0384316437</v>
      </c>
      <c r="L348" s="40" t="n">
        <f aca="false">K348-C348</f>
        <v>6435.03843164369</v>
      </c>
      <c r="M348" s="38" t="str">
        <f aca="false">IF(F348&gt;365,"LTCG","STCG")</f>
        <v>LTCG</v>
      </c>
      <c r="N348" s="48" t="n">
        <f aca="false">IF(M348="LTCG",Assumptions!$C$12,Assumptions!$C$11)</f>
        <v>0.125</v>
      </c>
      <c r="O348" s="38" t="str">
        <f aca="false">IF(M348="STCG",MAX(L348,0)*Assumptions!$C$11,"agg. below")</f>
        <v>agg. below</v>
      </c>
    </row>
    <row r="349" customFormat="false" ht="15" hidden="false" customHeight="false" outlineLevel="1" collapsed="false">
      <c r="A349" s="33" t="str">
        <f aca="false">TEXT(SIP_Fund2_HDFCMidcap!B93,"mmm-yyyy")</f>
        <v>May-2032</v>
      </c>
      <c r="B349" s="34" t="n">
        <f aca="false">SIP_Fund2_HDFCMidcap!B93</f>
        <v>48335</v>
      </c>
      <c r="C349" s="35" t="n">
        <f aca="false">SIP_Fund2_HDFCMidcap!C93</f>
        <v>10000</v>
      </c>
      <c r="D349" s="36" t="n">
        <f aca="false">SIP_Fund2_HDFCMidcap!D93</f>
        <v>496.715613947537</v>
      </c>
      <c r="E349" s="37" t="n">
        <f aca="false">SIP_Fund2_HDFCMidcap!E93</f>
        <v>20.1322441236087</v>
      </c>
      <c r="F349" s="33" t="n">
        <f aca="false">Assumptions!$C$5-B349</f>
        <v>1354</v>
      </c>
      <c r="G349" s="36" t="n">
        <f aca="false">Assumptions!$D$21*(1+Assumptions!$F$21)^((Assumptions!$C$5-Assumptions!$C$4)/365)</f>
        <v>807.609511036577</v>
      </c>
      <c r="H349" s="35" t="n">
        <f aca="false">E349*G349</f>
        <v>16258.9918327366</v>
      </c>
      <c r="I349" s="47" t="n">
        <f aca="false">IF(F349&lt;365,Assumptions!$G$21,IF(F349&lt;=730,Assumptions!$H$21,Assumptions!$I$21))</f>
        <v>0</v>
      </c>
      <c r="J349" s="35" t="n">
        <f aca="false">H349*I349</f>
        <v>0</v>
      </c>
      <c r="K349" s="35" t="n">
        <f aca="false">H349-J349</f>
        <v>16258.9918327366</v>
      </c>
      <c r="L349" s="35" t="n">
        <f aca="false">K349-C349</f>
        <v>6258.99183273665</v>
      </c>
      <c r="M349" s="33" t="str">
        <f aca="false">IF(F349&gt;365,"LTCG","STCG")</f>
        <v>LTCG</v>
      </c>
      <c r="N349" s="47" t="n">
        <f aca="false">IF(M349="LTCG",Assumptions!$C$12,Assumptions!$C$11)</f>
        <v>0.125</v>
      </c>
      <c r="O349" s="33" t="str">
        <f aca="false">IF(M349="STCG",MAX(L349,0)*Assumptions!$C$11,"agg. below")</f>
        <v>agg. below</v>
      </c>
    </row>
    <row r="350" customFormat="false" ht="15" hidden="false" customHeight="false" outlineLevel="1" collapsed="false">
      <c r="A350" s="38" t="str">
        <f aca="false">TEXT(SIP_Fund2_HDFCMidcap!B94,"mmm-yyyy")</f>
        <v>Jun-2032</v>
      </c>
      <c r="B350" s="39" t="n">
        <f aca="false">SIP_Fund2_HDFCMidcap!B94</f>
        <v>48366</v>
      </c>
      <c r="C350" s="40" t="n">
        <f aca="false">SIP_Fund2_HDFCMidcap!C94</f>
        <v>10000</v>
      </c>
      <c r="D350" s="41" t="n">
        <f aca="false">SIP_Fund2_HDFCMidcap!D94</f>
        <v>502.274149292294</v>
      </c>
      <c r="E350" s="42" t="n">
        <f aca="false">SIP_Fund2_HDFCMidcap!E94</f>
        <v>19.909445895414</v>
      </c>
      <c r="F350" s="38" t="n">
        <f aca="false">Assumptions!$C$5-B350</f>
        <v>1323</v>
      </c>
      <c r="G350" s="41" t="n">
        <f aca="false">Assumptions!$D$21*(1+Assumptions!$F$21)^((Assumptions!$C$5-Assumptions!$C$4)/365)</f>
        <v>807.609511036577</v>
      </c>
      <c r="H350" s="40" t="n">
        <f aca="false">E350*G350</f>
        <v>16079.0578646045</v>
      </c>
      <c r="I350" s="48" t="n">
        <f aca="false">IF(F350&lt;365,Assumptions!$G$21,IF(F350&lt;=730,Assumptions!$H$21,Assumptions!$I$21))</f>
        <v>0</v>
      </c>
      <c r="J350" s="40" t="n">
        <f aca="false">H350*I350</f>
        <v>0</v>
      </c>
      <c r="K350" s="40" t="n">
        <f aca="false">H350-J350</f>
        <v>16079.0578646045</v>
      </c>
      <c r="L350" s="40" t="n">
        <f aca="false">K350-C350</f>
        <v>6079.05786460446</v>
      </c>
      <c r="M350" s="38" t="str">
        <f aca="false">IF(F350&gt;365,"LTCG","STCG")</f>
        <v>LTCG</v>
      </c>
      <c r="N350" s="48" t="n">
        <f aca="false">IF(M350="LTCG",Assumptions!$C$12,Assumptions!$C$11)</f>
        <v>0.125</v>
      </c>
      <c r="O350" s="38" t="str">
        <f aca="false">IF(M350="STCG",MAX(L350,0)*Assumptions!$C$11,"agg. below")</f>
        <v>agg. below</v>
      </c>
    </row>
    <row r="351" customFormat="false" ht="15" hidden="false" customHeight="false" outlineLevel="1" collapsed="false">
      <c r="A351" s="33" t="str">
        <f aca="false">TEXT(SIP_Fund2_HDFCMidcap!B95,"mmm-yyyy")</f>
        <v>Jul-2032</v>
      </c>
      <c r="B351" s="34" t="n">
        <f aca="false">SIP_Fund2_HDFCMidcap!B95</f>
        <v>48396</v>
      </c>
      <c r="C351" s="35" t="n">
        <f aca="false">SIP_Fund2_HDFCMidcap!C95</f>
        <v>10000</v>
      </c>
      <c r="D351" s="36" t="n">
        <f aca="false">SIP_Fund2_HDFCMidcap!D95</f>
        <v>507.712595698534</v>
      </c>
      <c r="E351" s="37" t="n">
        <f aca="false">SIP_Fund2_HDFCMidcap!E95</f>
        <v>19.6961826133967</v>
      </c>
      <c r="F351" s="33" t="n">
        <f aca="false">Assumptions!$C$5-B351</f>
        <v>1293</v>
      </c>
      <c r="G351" s="36" t="n">
        <f aca="false">Assumptions!$D$21*(1+Assumptions!$F$21)^((Assumptions!$C$5-Assumptions!$C$4)/365)</f>
        <v>807.609511036577</v>
      </c>
      <c r="H351" s="35" t="n">
        <f aca="false">E351*G351</f>
        <v>15906.8244096925</v>
      </c>
      <c r="I351" s="47" t="n">
        <f aca="false">IF(F351&lt;365,Assumptions!$G$21,IF(F351&lt;=730,Assumptions!$H$21,Assumptions!$I$21))</f>
        <v>0</v>
      </c>
      <c r="J351" s="35" t="n">
        <f aca="false">H351*I351</f>
        <v>0</v>
      </c>
      <c r="K351" s="35" t="n">
        <f aca="false">H351-J351</f>
        <v>15906.8244096925</v>
      </c>
      <c r="L351" s="35" t="n">
        <f aca="false">K351-C351</f>
        <v>5906.82440969248</v>
      </c>
      <c r="M351" s="33" t="str">
        <f aca="false">IF(F351&gt;365,"LTCG","STCG")</f>
        <v>LTCG</v>
      </c>
      <c r="N351" s="47" t="n">
        <f aca="false">IF(M351="LTCG",Assumptions!$C$12,Assumptions!$C$11)</f>
        <v>0.125</v>
      </c>
      <c r="O351" s="33" t="str">
        <f aca="false">IF(M351="STCG",MAX(L351,0)*Assumptions!$C$11,"agg. below")</f>
        <v>agg. below</v>
      </c>
    </row>
    <row r="352" customFormat="false" ht="15" hidden="false" customHeight="false" outlineLevel="1" collapsed="false">
      <c r="A352" s="38" t="str">
        <f aca="false">TEXT(SIP_Fund2_HDFCMidcap!B96,"mmm-yyyy")</f>
        <v>Aug-2032</v>
      </c>
      <c r="B352" s="39" t="n">
        <f aca="false">SIP_Fund2_HDFCMidcap!B96</f>
        <v>48427</v>
      </c>
      <c r="C352" s="40" t="n">
        <f aca="false">SIP_Fund2_HDFCMidcap!C96</f>
        <v>10000</v>
      </c>
      <c r="D352" s="41" t="n">
        <f aca="false">SIP_Fund2_HDFCMidcap!D96</f>
        <v>513.394193636921</v>
      </c>
      <c r="E352" s="42" t="n">
        <f aca="false">SIP_Fund2_HDFCMidcap!E96</f>
        <v>19.4782101627588</v>
      </c>
      <c r="F352" s="38" t="n">
        <f aca="false">Assumptions!$C$5-B352</f>
        <v>1262</v>
      </c>
      <c r="G352" s="41" t="n">
        <f aca="false">Assumptions!$D$21*(1+Assumptions!$F$21)^((Assumptions!$C$5-Assumptions!$C$4)/365)</f>
        <v>807.609511036577</v>
      </c>
      <c r="H352" s="40" t="n">
        <f aca="false">E352*G352</f>
        <v>15730.7877854133</v>
      </c>
      <c r="I352" s="48" t="n">
        <f aca="false">IF(F352&lt;365,Assumptions!$G$21,IF(F352&lt;=730,Assumptions!$H$21,Assumptions!$I$21))</f>
        <v>0</v>
      </c>
      <c r="J352" s="40" t="n">
        <f aca="false">H352*I352</f>
        <v>0</v>
      </c>
      <c r="K352" s="40" t="n">
        <f aca="false">H352-J352</f>
        <v>15730.7877854133</v>
      </c>
      <c r="L352" s="40" t="n">
        <f aca="false">K352-C352</f>
        <v>5730.78778541328</v>
      </c>
      <c r="M352" s="38" t="str">
        <f aca="false">IF(F352&gt;365,"LTCG","STCG")</f>
        <v>LTCG</v>
      </c>
      <c r="N352" s="48" t="n">
        <f aca="false">IF(M352="LTCG",Assumptions!$C$12,Assumptions!$C$11)</f>
        <v>0.125</v>
      </c>
      <c r="O352" s="38" t="str">
        <f aca="false">IF(M352="STCG",MAX(L352,0)*Assumptions!$C$11,"agg. below")</f>
        <v>agg. below</v>
      </c>
    </row>
    <row r="353" customFormat="false" ht="15" hidden="false" customHeight="false" outlineLevel="1" collapsed="false">
      <c r="A353" s="33" t="str">
        <f aca="false">TEXT(SIP_Fund2_HDFCMidcap!B97,"mmm-yyyy")</f>
        <v>Sep-2032</v>
      </c>
      <c r="B353" s="34" t="n">
        <f aca="false">SIP_Fund2_HDFCMidcap!B97</f>
        <v>48458</v>
      </c>
      <c r="C353" s="35" t="n">
        <f aca="false">SIP_Fund2_HDFCMidcap!C97</f>
        <v>10000</v>
      </c>
      <c r="D353" s="36" t="n">
        <f aca="false">SIP_Fund2_HDFCMidcap!D97</f>
        <v>519.139371946184</v>
      </c>
      <c r="E353" s="37" t="n">
        <f aca="false">SIP_Fund2_HDFCMidcap!E97</f>
        <v>19.262649955659</v>
      </c>
      <c r="F353" s="33" t="n">
        <f aca="false">Assumptions!$C$5-B353</f>
        <v>1231</v>
      </c>
      <c r="G353" s="36" t="n">
        <f aca="false">Assumptions!$D$21*(1+Assumptions!$F$21)^((Assumptions!$C$5-Assumptions!$C$4)/365)</f>
        <v>807.609511036577</v>
      </c>
      <c r="H353" s="35" t="n">
        <f aca="false">E353*G353</f>
        <v>15556.6993119585</v>
      </c>
      <c r="I353" s="47" t="n">
        <f aca="false">IF(F353&lt;365,Assumptions!$G$21,IF(F353&lt;=730,Assumptions!$H$21,Assumptions!$I$21))</f>
        <v>0</v>
      </c>
      <c r="J353" s="35" t="n">
        <f aca="false">H353*I353</f>
        <v>0</v>
      </c>
      <c r="K353" s="35" t="n">
        <f aca="false">H353-J353</f>
        <v>15556.6993119585</v>
      </c>
      <c r="L353" s="35" t="n">
        <f aca="false">K353-C353</f>
        <v>5556.6993119585</v>
      </c>
      <c r="M353" s="33" t="str">
        <f aca="false">IF(F353&gt;365,"LTCG","STCG")</f>
        <v>LTCG</v>
      </c>
      <c r="N353" s="47" t="n">
        <f aca="false">IF(M353="LTCG",Assumptions!$C$12,Assumptions!$C$11)</f>
        <v>0.125</v>
      </c>
      <c r="O353" s="33" t="str">
        <f aca="false">IF(M353="STCG",MAX(L353,0)*Assumptions!$C$11,"agg. below")</f>
        <v>agg. below</v>
      </c>
    </row>
    <row r="354" customFormat="false" ht="15" hidden="false" customHeight="false" outlineLevel="1" collapsed="false">
      <c r="A354" s="38" t="str">
        <f aca="false">TEXT(SIP_Fund2_HDFCMidcap!B98,"mmm-yyyy")</f>
        <v>Oct-2032</v>
      </c>
      <c r="B354" s="39" t="n">
        <f aca="false">SIP_Fund2_HDFCMidcap!B98</f>
        <v>48488</v>
      </c>
      <c r="C354" s="40" t="n">
        <f aca="false">SIP_Fund2_HDFCMidcap!C98</f>
        <v>10000</v>
      </c>
      <c r="D354" s="41" t="n">
        <f aca="false">SIP_Fund2_HDFCMidcap!D98</f>
        <v>524.760429003723</v>
      </c>
      <c r="E354" s="42" t="n">
        <f aca="false">SIP_Fund2_HDFCMidcap!E98</f>
        <v>19.0563149340078</v>
      </c>
      <c r="F354" s="38" t="n">
        <f aca="false">Assumptions!$C$5-B354</f>
        <v>1201</v>
      </c>
      <c r="G354" s="41" t="n">
        <f aca="false">Assumptions!$D$21*(1+Assumptions!$F$21)^((Assumptions!$C$5-Assumptions!$C$4)/365)</f>
        <v>807.609511036577</v>
      </c>
      <c r="H354" s="40" t="n">
        <f aca="false">E354*G354</f>
        <v>15390.0611860131</v>
      </c>
      <c r="I354" s="48" t="n">
        <f aca="false">IF(F354&lt;365,Assumptions!$G$21,IF(F354&lt;=730,Assumptions!$H$21,Assumptions!$I$21))</f>
        <v>0</v>
      </c>
      <c r="J354" s="40" t="n">
        <f aca="false">H354*I354</f>
        <v>0</v>
      </c>
      <c r="K354" s="40" t="n">
        <f aca="false">H354-J354</f>
        <v>15390.0611860131</v>
      </c>
      <c r="L354" s="40" t="n">
        <f aca="false">K354-C354</f>
        <v>5390.0611860131</v>
      </c>
      <c r="M354" s="38" t="str">
        <f aca="false">IF(F354&gt;365,"LTCG","STCG")</f>
        <v>LTCG</v>
      </c>
      <c r="N354" s="48" t="n">
        <f aca="false">IF(M354="LTCG",Assumptions!$C$12,Assumptions!$C$11)</f>
        <v>0.125</v>
      </c>
      <c r="O354" s="38" t="str">
        <f aca="false">IF(M354="STCG",MAX(L354,0)*Assumptions!$C$11,"agg. below")</f>
        <v>agg. below</v>
      </c>
    </row>
    <row r="355" customFormat="false" ht="15" hidden="false" customHeight="false" outlineLevel="1" collapsed="false">
      <c r="A355" s="33" t="str">
        <f aca="false">TEXT(SIP_Fund2_HDFCMidcap!B99,"mmm-yyyy")</f>
        <v>Nov-2032</v>
      </c>
      <c r="B355" s="34" t="n">
        <f aca="false">SIP_Fund2_HDFCMidcap!B99</f>
        <v>48519</v>
      </c>
      <c r="C355" s="35" t="n">
        <f aca="false">SIP_Fund2_HDFCMidcap!C99</f>
        <v>10000</v>
      </c>
      <c r="D355" s="36" t="n">
        <f aca="false">SIP_Fund2_HDFCMidcap!D99</f>
        <v>530.632802068394</v>
      </c>
      <c r="E355" s="37" t="n">
        <f aca="false">SIP_Fund2_HDFCMidcap!E99</f>
        <v>18.8454237299697</v>
      </c>
      <c r="F355" s="33" t="n">
        <f aca="false">Assumptions!$C$5-B355</f>
        <v>1170</v>
      </c>
      <c r="G355" s="36" t="n">
        <f aca="false">Assumptions!$D$21*(1+Assumptions!$F$21)^((Assumptions!$C$5-Assumptions!$C$4)/365)</f>
        <v>807.609511036577</v>
      </c>
      <c r="H355" s="35" t="n">
        <f aca="false">E355*G355</f>
        <v>15219.7434438379</v>
      </c>
      <c r="I355" s="47" t="n">
        <f aca="false">IF(F355&lt;365,Assumptions!$G$21,IF(F355&lt;=730,Assumptions!$H$21,Assumptions!$I$21))</f>
        <v>0</v>
      </c>
      <c r="J355" s="35" t="n">
        <f aca="false">H355*I355</f>
        <v>0</v>
      </c>
      <c r="K355" s="35" t="n">
        <f aca="false">H355-J355</f>
        <v>15219.7434438379</v>
      </c>
      <c r="L355" s="35" t="n">
        <f aca="false">K355-C355</f>
        <v>5219.74344383791</v>
      </c>
      <c r="M355" s="33" t="str">
        <f aca="false">IF(F355&gt;365,"LTCG","STCG")</f>
        <v>LTCG</v>
      </c>
      <c r="N355" s="47" t="n">
        <f aca="false">IF(M355="LTCG",Assumptions!$C$12,Assumptions!$C$11)</f>
        <v>0.125</v>
      </c>
      <c r="O355" s="33" t="str">
        <f aca="false">IF(M355="STCG",MAX(L355,0)*Assumptions!$C$11,"agg. below")</f>
        <v>agg. below</v>
      </c>
    </row>
    <row r="356" customFormat="false" ht="15" hidden="false" customHeight="false" outlineLevel="1" collapsed="false">
      <c r="A356" s="38" t="str">
        <f aca="false">TEXT(SIP_Fund2_HDFCMidcap!B100,"mmm-yyyy")</f>
        <v>Dec-2032</v>
      </c>
      <c r="B356" s="39" t="n">
        <f aca="false">SIP_Fund2_HDFCMidcap!B100</f>
        <v>48549</v>
      </c>
      <c r="C356" s="40" t="n">
        <f aca="false">SIP_Fund2_HDFCMidcap!C100</f>
        <v>10000</v>
      </c>
      <c r="D356" s="41" t="n">
        <f aca="false">SIP_Fund2_HDFCMidcap!D100</f>
        <v>536.378305912277</v>
      </c>
      <c r="E356" s="42" t="n">
        <f aca="false">SIP_Fund2_HDFCMidcap!E100</f>
        <v>18.643557895191</v>
      </c>
      <c r="F356" s="38" t="n">
        <f aca="false">Assumptions!$C$5-B356</f>
        <v>1140</v>
      </c>
      <c r="G356" s="41" t="n">
        <f aca="false">Assumptions!$D$21*(1+Assumptions!$F$21)^((Assumptions!$C$5-Assumptions!$C$4)/365)</f>
        <v>807.609511036577</v>
      </c>
      <c r="H356" s="40" t="n">
        <f aca="false">E356*G356</f>
        <v>15056.7146757173</v>
      </c>
      <c r="I356" s="48" t="n">
        <f aca="false">IF(F356&lt;365,Assumptions!$G$21,IF(F356&lt;=730,Assumptions!$H$21,Assumptions!$I$21))</f>
        <v>0</v>
      </c>
      <c r="J356" s="40" t="n">
        <f aca="false">H356*I356</f>
        <v>0</v>
      </c>
      <c r="K356" s="40" t="n">
        <f aca="false">H356-J356</f>
        <v>15056.7146757173</v>
      </c>
      <c r="L356" s="40" t="n">
        <f aca="false">K356-C356</f>
        <v>5056.71467571733</v>
      </c>
      <c r="M356" s="38" t="str">
        <f aca="false">IF(F356&gt;365,"LTCG","STCG")</f>
        <v>LTCG</v>
      </c>
      <c r="N356" s="48" t="n">
        <f aca="false">IF(M356="LTCG",Assumptions!$C$12,Assumptions!$C$11)</f>
        <v>0.125</v>
      </c>
      <c r="O356" s="38" t="str">
        <f aca="false">IF(M356="STCG",MAX(L356,0)*Assumptions!$C$11,"agg. below")</f>
        <v>agg. below</v>
      </c>
    </row>
    <row r="357" customFormat="false" ht="15" hidden="false" customHeight="false" outlineLevel="1" collapsed="false">
      <c r="A357" s="33" t="str">
        <f aca="false">TEXT(SIP_Fund2_HDFCMidcap!B101,"mmm-yyyy")</f>
        <v>Jan-2033</v>
      </c>
      <c r="B357" s="34" t="n">
        <f aca="false">SIP_Fund2_HDFCMidcap!B101</f>
        <v>48580</v>
      </c>
      <c r="C357" s="35" t="n">
        <f aca="false">SIP_Fund2_HDFCMidcap!C101</f>
        <v>11000</v>
      </c>
      <c r="D357" s="36" t="n">
        <f aca="false">SIP_Fund2_HDFCMidcap!D101</f>
        <v>542.380689746922</v>
      </c>
      <c r="E357" s="37" t="n">
        <f aca="false">SIP_Fund2_HDFCMidcap!E101</f>
        <v>20.2809580207081</v>
      </c>
      <c r="F357" s="33" t="n">
        <f aca="false">Assumptions!$C$5-B357</f>
        <v>1109</v>
      </c>
      <c r="G357" s="36" t="n">
        <f aca="false">Assumptions!$D$21*(1+Assumptions!$F$21)^((Assumptions!$C$5-Assumptions!$C$4)/365)</f>
        <v>807.609511036577</v>
      </c>
      <c r="H357" s="35" t="n">
        <f aca="false">E357*G357</f>
        <v>16379.0945904574</v>
      </c>
      <c r="I357" s="47" t="n">
        <f aca="false">IF(F357&lt;365,Assumptions!$G$21,IF(F357&lt;=730,Assumptions!$H$21,Assumptions!$I$21))</f>
        <v>0</v>
      </c>
      <c r="J357" s="35" t="n">
        <f aca="false">H357*I357</f>
        <v>0</v>
      </c>
      <c r="K357" s="35" t="n">
        <f aca="false">H357-J357</f>
        <v>16379.0945904574</v>
      </c>
      <c r="L357" s="35" t="n">
        <f aca="false">K357-C357</f>
        <v>5379.09459045739</v>
      </c>
      <c r="M357" s="33" t="str">
        <f aca="false">IF(F357&gt;365,"LTCG","STCG")</f>
        <v>LTCG</v>
      </c>
      <c r="N357" s="47" t="n">
        <f aca="false">IF(M357="LTCG",Assumptions!$C$12,Assumptions!$C$11)</f>
        <v>0.125</v>
      </c>
      <c r="O357" s="33" t="str">
        <f aca="false">IF(M357="STCG",MAX(L357,0)*Assumptions!$C$11,"agg. below")</f>
        <v>agg. below</v>
      </c>
    </row>
    <row r="358" customFormat="false" ht="15" hidden="false" customHeight="false" outlineLevel="1" collapsed="false">
      <c r="A358" s="38" t="str">
        <f aca="false">TEXT(SIP_Fund2_HDFCMidcap!B102,"mmm-yyyy")</f>
        <v>Feb-2033</v>
      </c>
      <c r="B358" s="39" t="n">
        <f aca="false">SIP_Fund2_HDFCMidcap!B102</f>
        <v>48611</v>
      </c>
      <c r="C358" s="40" t="n">
        <f aca="false">SIP_Fund2_HDFCMidcap!C102</f>
        <v>11000</v>
      </c>
      <c r="D358" s="41" t="n">
        <f aca="false">SIP_Fund2_HDFCMidcap!D102</f>
        <v>548.450243732374</v>
      </c>
      <c r="E358" s="42" t="n">
        <f aca="false">SIP_Fund2_HDFCMidcap!E102</f>
        <v>20.0565140150938</v>
      </c>
      <c r="F358" s="38" t="n">
        <f aca="false">Assumptions!$C$5-B358</f>
        <v>1078</v>
      </c>
      <c r="G358" s="41" t="n">
        <f aca="false">Assumptions!$D$21*(1+Assumptions!$F$21)^((Assumptions!$C$5-Assumptions!$C$4)/365)</f>
        <v>807.609511036577</v>
      </c>
      <c r="H358" s="40" t="n">
        <f aca="false">E358*G358</f>
        <v>16197.8314768282</v>
      </c>
      <c r="I358" s="48" t="n">
        <f aca="false">IF(F358&lt;365,Assumptions!$G$21,IF(F358&lt;=730,Assumptions!$H$21,Assumptions!$I$21))</f>
        <v>0</v>
      </c>
      <c r="J358" s="40" t="n">
        <f aca="false">H358*I358</f>
        <v>0</v>
      </c>
      <c r="K358" s="40" t="n">
        <f aca="false">H358-J358</f>
        <v>16197.8314768282</v>
      </c>
      <c r="L358" s="40" t="n">
        <f aca="false">K358-C358</f>
        <v>5197.8314768282</v>
      </c>
      <c r="M358" s="38" t="str">
        <f aca="false">IF(F358&gt;365,"LTCG","STCG")</f>
        <v>LTCG</v>
      </c>
      <c r="N358" s="48" t="n">
        <f aca="false">IF(M358="LTCG",Assumptions!$C$12,Assumptions!$C$11)</f>
        <v>0.125</v>
      </c>
      <c r="O358" s="38" t="str">
        <f aca="false">IF(M358="STCG",MAX(L358,0)*Assumptions!$C$11,"agg. below")</f>
        <v>agg. below</v>
      </c>
    </row>
    <row r="359" customFormat="false" ht="15" hidden="false" customHeight="false" outlineLevel="1" collapsed="false">
      <c r="A359" s="33" t="str">
        <f aca="false">TEXT(SIP_Fund2_HDFCMidcap!B103,"mmm-yyyy")</f>
        <v>Mar-2033</v>
      </c>
      <c r="B359" s="34" t="n">
        <f aca="false">SIP_Fund2_HDFCMidcap!B103</f>
        <v>48639</v>
      </c>
      <c r="C359" s="35" t="n">
        <f aca="false">SIP_Fund2_HDFCMidcap!C103</f>
        <v>11000</v>
      </c>
      <c r="D359" s="36" t="n">
        <f aca="false">SIP_Fund2_HDFCMidcap!D103</f>
        <v>553.990780771937</v>
      </c>
      <c r="E359" s="37" t="n">
        <f aca="false">SIP_Fund2_HDFCMidcap!E103</f>
        <v>19.8559260944243</v>
      </c>
      <c r="F359" s="33" t="n">
        <f aca="false">Assumptions!$C$5-B359</f>
        <v>1050</v>
      </c>
      <c r="G359" s="36" t="n">
        <f aca="false">Assumptions!$D$21*(1+Assumptions!$F$21)^((Assumptions!$C$5-Assumptions!$C$4)/365)</f>
        <v>807.609511036577</v>
      </c>
      <c r="H359" s="35" t="n">
        <f aca="false">E359*G359</f>
        <v>16035.8347642964</v>
      </c>
      <c r="I359" s="47" t="n">
        <f aca="false">IF(F359&lt;365,Assumptions!$G$21,IF(F359&lt;=730,Assumptions!$H$21,Assumptions!$I$21))</f>
        <v>0</v>
      </c>
      <c r="J359" s="35" t="n">
        <f aca="false">H359*I359</f>
        <v>0</v>
      </c>
      <c r="K359" s="35" t="n">
        <f aca="false">H359-J359</f>
        <v>16035.8347642964</v>
      </c>
      <c r="L359" s="35" t="n">
        <f aca="false">K359-C359</f>
        <v>5035.83476429644</v>
      </c>
      <c r="M359" s="33" t="str">
        <f aca="false">IF(F359&gt;365,"LTCG","STCG")</f>
        <v>LTCG</v>
      </c>
      <c r="N359" s="47" t="n">
        <f aca="false">IF(M359="LTCG",Assumptions!$C$12,Assumptions!$C$11)</f>
        <v>0.125</v>
      </c>
      <c r="O359" s="33" t="str">
        <f aca="false">IF(M359="STCG",MAX(L359,0)*Assumptions!$C$11,"agg. below")</f>
        <v>agg. below</v>
      </c>
    </row>
    <row r="360" customFormat="false" ht="15" hidden="false" customHeight="false" outlineLevel="1" collapsed="false">
      <c r="A360" s="38" t="str">
        <f aca="false">TEXT(SIP_Fund2_HDFCMidcap!B104,"mmm-yyyy")</f>
        <v>Apr-2033</v>
      </c>
      <c r="B360" s="39" t="n">
        <f aca="false">SIP_Fund2_HDFCMidcap!B104</f>
        <v>48670</v>
      </c>
      <c r="C360" s="40" t="n">
        <f aca="false">SIP_Fund2_HDFCMidcap!C104</f>
        <v>11000</v>
      </c>
      <c r="D360" s="41" t="n">
        <f aca="false">SIP_Fund2_HDFCMidcap!D104</f>
        <v>560.190258398818</v>
      </c>
      <c r="E360" s="42" t="n">
        <f aca="false">SIP_Fund2_HDFCMidcap!E104</f>
        <v>19.6361858048748</v>
      </c>
      <c r="F360" s="38" t="n">
        <f aca="false">Assumptions!$C$5-B360</f>
        <v>1019</v>
      </c>
      <c r="G360" s="41" t="n">
        <f aca="false">Assumptions!$D$21*(1+Assumptions!$F$21)^((Assumptions!$C$5-Assumptions!$C$4)/365)</f>
        <v>807.609511036577</v>
      </c>
      <c r="H360" s="40" t="n">
        <f aca="false">E360*G360</f>
        <v>15858.3704164983</v>
      </c>
      <c r="I360" s="48" t="n">
        <f aca="false">IF(F360&lt;365,Assumptions!$G$21,IF(F360&lt;=730,Assumptions!$H$21,Assumptions!$I$21))</f>
        <v>0</v>
      </c>
      <c r="J360" s="40" t="n">
        <f aca="false">H360*I360</f>
        <v>0</v>
      </c>
      <c r="K360" s="40" t="n">
        <f aca="false">H360-J360</f>
        <v>15858.3704164983</v>
      </c>
      <c r="L360" s="40" t="n">
        <f aca="false">K360-C360</f>
        <v>4858.37041649829</v>
      </c>
      <c r="M360" s="38" t="str">
        <f aca="false">IF(F360&gt;365,"LTCG","STCG")</f>
        <v>LTCG</v>
      </c>
      <c r="N360" s="48" t="n">
        <f aca="false">IF(M360="LTCG",Assumptions!$C$12,Assumptions!$C$11)</f>
        <v>0.125</v>
      </c>
      <c r="O360" s="38" t="str">
        <f aca="false">IF(M360="STCG",MAX(L360,0)*Assumptions!$C$11,"agg. below")</f>
        <v>agg. below</v>
      </c>
    </row>
    <row r="361" customFormat="false" ht="15" hidden="false" customHeight="false" outlineLevel="1" collapsed="false">
      <c r="A361" s="33" t="str">
        <f aca="false">TEXT(SIP_Fund2_HDFCMidcap!B105,"mmm-yyyy")</f>
        <v>May-2033</v>
      </c>
      <c r="B361" s="34" t="n">
        <f aca="false">SIP_Fund2_HDFCMidcap!B105</f>
        <v>48700</v>
      </c>
      <c r="C361" s="35" t="n">
        <f aca="false">SIP_Fund2_HDFCMidcap!C105</f>
        <v>11000</v>
      </c>
      <c r="D361" s="36" t="n">
        <f aca="false">SIP_Fund2_HDFCMidcap!D105</f>
        <v>566.255799900192</v>
      </c>
      <c r="E361" s="37" t="n">
        <f aca="false">SIP_Fund2_HDFCMidcap!E105</f>
        <v>19.4258495929558</v>
      </c>
      <c r="F361" s="33" t="n">
        <f aca="false">Assumptions!$C$5-B361</f>
        <v>989</v>
      </c>
      <c r="G361" s="36" t="n">
        <f aca="false">Assumptions!$D$21*(1+Assumptions!$F$21)^((Assumptions!$C$5-Assumptions!$C$4)/365)</f>
        <v>807.609511036577</v>
      </c>
      <c r="H361" s="35" t="n">
        <f aca="false">E361*G361</f>
        <v>15688.5008912371</v>
      </c>
      <c r="I361" s="47" t="n">
        <f aca="false">IF(F361&lt;365,Assumptions!$G$21,IF(F361&lt;=730,Assumptions!$H$21,Assumptions!$I$21))</f>
        <v>0</v>
      </c>
      <c r="J361" s="35" t="n">
        <f aca="false">H361*I361</f>
        <v>0</v>
      </c>
      <c r="K361" s="35" t="n">
        <f aca="false">H361-J361</f>
        <v>15688.5008912371</v>
      </c>
      <c r="L361" s="35" t="n">
        <f aca="false">K361-C361</f>
        <v>4688.50089123712</v>
      </c>
      <c r="M361" s="33" t="str">
        <f aca="false">IF(F361&gt;365,"LTCG","STCG")</f>
        <v>LTCG</v>
      </c>
      <c r="N361" s="47" t="n">
        <f aca="false">IF(M361="LTCG",Assumptions!$C$12,Assumptions!$C$11)</f>
        <v>0.125</v>
      </c>
      <c r="O361" s="33" t="str">
        <f aca="false">IF(M361="STCG",MAX(L361,0)*Assumptions!$C$11,"agg. below")</f>
        <v>agg. below</v>
      </c>
    </row>
    <row r="362" customFormat="false" ht="15" hidden="false" customHeight="false" outlineLevel="1" collapsed="false">
      <c r="A362" s="38" t="str">
        <f aca="false">TEXT(SIP_Fund2_HDFCMidcap!B106,"mmm-yyyy")</f>
        <v>Jun-2033</v>
      </c>
      <c r="B362" s="39" t="n">
        <f aca="false">SIP_Fund2_HDFCMidcap!B106</f>
        <v>48731</v>
      </c>
      <c r="C362" s="40" t="n">
        <f aca="false">SIP_Fund2_HDFCMidcap!C106</f>
        <v>11000</v>
      </c>
      <c r="D362" s="41" t="n">
        <f aca="false">SIP_Fund2_HDFCMidcap!D106</f>
        <v>572.592530193215</v>
      </c>
      <c r="E362" s="42" t="n">
        <f aca="false">SIP_Fund2_HDFCMidcap!E106</f>
        <v>19.2108688464521</v>
      </c>
      <c r="F362" s="38" t="n">
        <f aca="false">Assumptions!$C$5-B362</f>
        <v>958</v>
      </c>
      <c r="G362" s="41" t="n">
        <f aca="false">Assumptions!$D$21*(1+Assumptions!$F$21)^((Assumptions!$C$5-Assumptions!$C$4)/365)</f>
        <v>807.609511036577</v>
      </c>
      <c r="H362" s="40" t="n">
        <f aca="false">E362*G362</f>
        <v>15514.880395671</v>
      </c>
      <c r="I362" s="48" t="n">
        <f aca="false">IF(F362&lt;365,Assumptions!$G$21,IF(F362&lt;=730,Assumptions!$H$21,Assumptions!$I$21))</f>
        <v>0</v>
      </c>
      <c r="J362" s="40" t="n">
        <f aca="false">H362*I362</f>
        <v>0</v>
      </c>
      <c r="K362" s="40" t="n">
        <f aca="false">H362-J362</f>
        <v>15514.880395671</v>
      </c>
      <c r="L362" s="40" t="n">
        <f aca="false">K362-C362</f>
        <v>4514.88039567096</v>
      </c>
      <c r="M362" s="38" t="str">
        <f aca="false">IF(F362&gt;365,"LTCG","STCG")</f>
        <v>LTCG</v>
      </c>
      <c r="N362" s="48" t="n">
        <f aca="false">IF(M362="LTCG",Assumptions!$C$12,Assumptions!$C$11)</f>
        <v>0.125</v>
      </c>
      <c r="O362" s="38" t="str">
        <f aca="false">IF(M362="STCG",MAX(L362,0)*Assumptions!$C$11,"agg. below")</f>
        <v>agg. below</v>
      </c>
    </row>
    <row r="363" customFormat="false" ht="15" hidden="false" customHeight="false" outlineLevel="1" collapsed="false">
      <c r="A363" s="33" t="str">
        <f aca="false">TEXT(SIP_Fund2_HDFCMidcap!B107,"mmm-yyyy")</f>
        <v>Jul-2033</v>
      </c>
      <c r="B363" s="34" t="n">
        <f aca="false">SIP_Fund2_HDFCMidcap!B107</f>
        <v>48761</v>
      </c>
      <c r="C363" s="35" t="n">
        <f aca="false">SIP_Fund2_HDFCMidcap!C107</f>
        <v>11000</v>
      </c>
      <c r="D363" s="36" t="n">
        <f aca="false">SIP_Fund2_HDFCMidcap!D107</f>
        <v>578.792359096329</v>
      </c>
      <c r="E363" s="37" t="n">
        <f aca="false">SIP_Fund2_HDFCMidcap!E107</f>
        <v>19.0050884866109</v>
      </c>
      <c r="F363" s="33" t="n">
        <f aca="false">Assumptions!$C$5-B363</f>
        <v>928</v>
      </c>
      <c r="G363" s="36" t="n">
        <f aca="false">Assumptions!$D$21*(1+Assumptions!$F$21)^((Assumptions!$C$5-Assumptions!$C$4)/365)</f>
        <v>807.609511036577</v>
      </c>
      <c r="H363" s="35" t="n">
        <f aca="false">E363*G363</f>
        <v>15348.6902198787</v>
      </c>
      <c r="I363" s="47" t="n">
        <f aca="false">IF(F363&lt;365,Assumptions!$G$21,IF(F363&lt;=730,Assumptions!$H$21,Assumptions!$I$21))</f>
        <v>0</v>
      </c>
      <c r="J363" s="35" t="n">
        <f aca="false">H363*I363</f>
        <v>0</v>
      </c>
      <c r="K363" s="35" t="n">
        <f aca="false">H363-J363</f>
        <v>15348.6902198787</v>
      </c>
      <c r="L363" s="35" t="n">
        <f aca="false">K363-C363</f>
        <v>4348.69021987871</v>
      </c>
      <c r="M363" s="33" t="str">
        <f aca="false">IF(F363&gt;365,"LTCG","STCG")</f>
        <v>LTCG</v>
      </c>
      <c r="N363" s="47" t="n">
        <f aca="false">IF(M363="LTCG",Assumptions!$C$12,Assumptions!$C$11)</f>
        <v>0.125</v>
      </c>
      <c r="O363" s="33" t="str">
        <f aca="false">IF(M363="STCG",MAX(L363,0)*Assumptions!$C$11,"agg. below")</f>
        <v>agg. below</v>
      </c>
    </row>
    <row r="364" customFormat="false" ht="15" hidden="false" customHeight="false" outlineLevel="1" collapsed="false">
      <c r="A364" s="38" t="str">
        <f aca="false">TEXT(SIP_Fund2_HDFCMidcap!B108,"mmm-yyyy")</f>
        <v>Aug-2033</v>
      </c>
      <c r="B364" s="39" t="n">
        <f aca="false">SIP_Fund2_HDFCMidcap!B108</f>
        <v>48792</v>
      </c>
      <c r="C364" s="40" t="n">
        <f aca="false">SIP_Fund2_HDFCMidcap!C108</f>
        <v>11000</v>
      </c>
      <c r="D364" s="41" t="n">
        <f aca="false">SIP_Fund2_HDFCMidcap!D108</f>
        <v>585.26938074609</v>
      </c>
      <c r="E364" s="42" t="n">
        <f aca="false">SIP_Fund2_HDFCMidcap!E108</f>
        <v>18.7947641921356</v>
      </c>
      <c r="F364" s="38" t="n">
        <f aca="false">Assumptions!$C$5-B364</f>
        <v>897</v>
      </c>
      <c r="G364" s="41" t="n">
        <f aca="false">Assumptions!$D$21*(1+Assumptions!$F$21)^((Assumptions!$C$5-Assumptions!$C$4)/365)</f>
        <v>807.609511036577</v>
      </c>
      <c r="H364" s="40" t="n">
        <f aca="false">E364*G364</f>
        <v>15178.8303192584</v>
      </c>
      <c r="I364" s="48" t="n">
        <f aca="false">IF(F364&lt;365,Assumptions!$G$21,IF(F364&lt;=730,Assumptions!$H$21,Assumptions!$I$21))</f>
        <v>0</v>
      </c>
      <c r="J364" s="40" t="n">
        <f aca="false">H364*I364</f>
        <v>0</v>
      </c>
      <c r="K364" s="40" t="n">
        <f aca="false">H364-J364</f>
        <v>15178.8303192584</v>
      </c>
      <c r="L364" s="40" t="n">
        <f aca="false">K364-C364</f>
        <v>4178.83031925843</v>
      </c>
      <c r="M364" s="38" t="str">
        <f aca="false">IF(F364&gt;365,"LTCG","STCG")</f>
        <v>LTCG</v>
      </c>
      <c r="N364" s="48" t="n">
        <f aca="false">IF(M364="LTCG",Assumptions!$C$12,Assumptions!$C$11)</f>
        <v>0.125</v>
      </c>
      <c r="O364" s="38" t="str">
        <f aca="false">IF(M364="STCG",MAX(L364,0)*Assumptions!$C$11,"agg. below")</f>
        <v>agg. below</v>
      </c>
    </row>
    <row r="365" customFormat="false" ht="15" hidden="false" customHeight="false" outlineLevel="1" collapsed="false">
      <c r="A365" s="33" t="str">
        <f aca="false">TEXT(SIP_Fund2_HDFCMidcap!B109,"mmm-yyyy")</f>
        <v>Sep-2033</v>
      </c>
      <c r="B365" s="34" t="n">
        <f aca="false">SIP_Fund2_HDFCMidcap!B109</f>
        <v>48823</v>
      </c>
      <c r="C365" s="35" t="n">
        <f aca="false">SIP_Fund2_HDFCMidcap!C109</f>
        <v>11000</v>
      </c>
      <c r="D365" s="36" t="n">
        <f aca="false">SIP_Fund2_HDFCMidcap!D109</f>
        <v>591.81888401865</v>
      </c>
      <c r="E365" s="37" t="n">
        <f aca="false">SIP_Fund2_HDFCMidcap!E109</f>
        <v>18.5867675010745</v>
      </c>
      <c r="F365" s="33" t="n">
        <f aca="false">Assumptions!$C$5-B365</f>
        <v>866</v>
      </c>
      <c r="G365" s="36" t="n">
        <f aca="false">Assumptions!$D$21*(1+Assumptions!$F$21)^((Assumptions!$C$5-Assumptions!$C$4)/365)</f>
        <v>807.609511036577</v>
      </c>
      <c r="H365" s="35" t="n">
        <f aca="false">E365*G365</f>
        <v>15010.8502132933</v>
      </c>
      <c r="I365" s="47" t="n">
        <f aca="false">IF(F365&lt;365,Assumptions!$G$21,IF(F365&lt;=730,Assumptions!$H$21,Assumptions!$I$21))</f>
        <v>0</v>
      </c>
      <c r="J365" s="35" t="n">
        <f aca="false">H365*I365</f>
        <v>0</v>
      </c>
      <c r="K365" s="35" t="n">
        <f aca="false">H365-J365</f>
        <v>15010.8502132933</v>
      </c>
      <c r="L365" s="35" t="n">
        <f aca="false">K365-C365</f>
        <v>4010.85021329329</v>
      </c>
      <c r="M365" s="33" t="str">
        <f aca="false">IF(F365&gt;365,"LTCG","STCG")</f>
        <v>LTCG</v>
      </c>
      <c r="N365" s="47" t="n">
        <f aca="false">IF(M365="LTCG",Assumptions!$C$12,Assumptions!$C$11)</f>
        <v>0.125</v>
      </c>
      <c r="O365" s="33" t="str">
        <f aca="false">IF(M365="STCG",MAX(L365,0)*Assumptions!$C$11,"agg. below")</f>
        <v>agg. below</v>
      </c>
    </row>
    <row r="366" customFormat="false" ht="15" hidden="false" customHeight="false" outlineLevel="1" collapsed="false">
      <c r="A366" s="38" t="str">
        <f aca="false">TEXT(SIP_Fund2_HDFCMidcap!B110,"mmm-yyyy")</f>
        <v>Oct-2033</v>
      </c>
      <c r="B366" s="39" t="n">
        <f aca="false">SIP_Fund2_HDFCMidcap!B110</f>
        <v>48853</v>
      </c>
      <c r="C366" s="40" t="n">
        <f aca="false">SIP_Fund2_HDFCMidcap!C110</f>
        <v>11000</v>
      </c>
      <c r="D366" s="41" t="n">
        <f aca="false">SIP_Fund2_HDFCMidcap!D110</f>
        <v>598.226889064244</v>
      </c>
      <c r="E366" s="42" t="n">
        <f aca="false">SIP_Fund2_HDFCMidcap!E110</f>
        <v>18.3876723047444</v>
      </c>
      <c r="F366" s="38" t="n">
        <f aca="false">Assumptions!$C$5-B366</f>
        <v>836</v>
      </c>
      <c r="G366" s="41" t="n">
        <f aca="false">Assumptions!$D$21*(1+Assumptions!$F$21)^((Assumptions!$C$5-Assumptions!$C$4)/365)</f>
        <v>807.609511036577</v>
      </c>
      <c r="H366" s="40" t="n">
        <f aca="false">E366*G366</f>
        <v>14850.0590391354</v>
      </c>
      <c r="I366" s="48" t="n">
        <f aca="false">IF(F366&lt;365,Assumptions!$G$21,IF(F366&lt;=730,Assumptions!$H$21,Assumptions!$I$21))</f>
        <v>0</v>
      </c>
      <c r="J366" s="40" t="n">
        <f aca="false">H366*I366</f>
        <v>0</v>
      </c>
      <c r="K366" s="40" t="n">
        <f aca="false">H366-J366</f>
        <v>14850.0590391354</v>
      </c>
      <c r="L366" s="40" t="n">
        <f aca="false">K366-C366</f>
        <v>3850.05903913545</v>
      </c>
      <c r="M366" s="38" t="str">
        <f aca="false">IF(F366&gt;365,"LTCG","STCG")</f>
        <v>LTCG</v>
      </c>
      <c r="N366" s="48" t="n">
        <f aca="false">IF(M366="LTCG",Assumptions!$C$12,Assumptions!$C$11)</f>
        <v>0.125</v>
      </c>
      <c r="O366" s="38" t="str">
        <f aca="false">IF(M366="STCG",MAX(L366,0)*Assumptions!$C$11,"agg. below")</f>
        <v>agg. below</v>
      </c>
    </row>
    <row r="367" customFormat="false" ht="15" hidden="false" customHeight="false" outlineLevel="1" collapsed="false">
      <c r="A367" s="33" t="str">
        <f aca="false">TEXT(SIP_Fund2_HDFCMidcap!B111,"mmm-yyyy")</f>
        <v>Nov-2033</v>
      </c>
      <c r="B367" s="34" t="n">
        <f aca="false">SIP_Fund2_HDFCMidcap!B111</f>
        <v>48884</v>
      </c>
      <c r="C367" s="35" t="n">
        <f aca="false">SIP_Fund2_HDFCMidcap!C111</f>
        <v>11000</v>
      </c>
      <c r="D367" s="36" t="n">
        <f aca="false">SIP_Fund2_HDFCMidcap!D111</f>
        <v>604.921394357969</v>
      </c>
      <c r="E367" s="37" t="n">
        <f aca="false">SIP_Fund2_HDFCMidcap!E111</f>
        <v>18.184180792076</v>
      </c>
      <c r="F367" s="33" t="n">
        <f aca="false">Assumptions!$C$5-B367</f>
        <v>805</v>
      </c>
      <c r="G367" s="36" t="n">
        <f aca="false">Assumptions!$D$21*(1+Assumptions!$F$21)^((Assumptions!$C$5-Assumptions!$C$4)/365)</f>
        <v>807.609511036577</v>
      </c>
      <c r="H367" s="35" t="n">
        <f aca="false">E367*G367</f>
        <v>14685.7173580892</v>
      </c>
      <c r="I367" s="47" t="n">
        <f aca="false">IF(F367&lt;365,Assumptions!$G$21,IF(F367&lt;=730,Assumptions!$H$21,Assumptions!$I$21))</f>
        <v>0</v>
      </c>
      <c r="J367" s="35" t="n">
        <f aca="false">H367*I367</f>
        <v>0</v>
      </c>
      <c r="K367" s="35" t="n">
        <f aca="false">H367-J367</f>
        <v>14685.7173580892</v>
      </c>
      <c r="L367" s="35" t="n">
        <f aca="false">K367-C367</f>
        <v>3685.71735808921</v>
      </c>
      <c r="M367" s="33" t="str">
        <f aca="false">IF(F367&gt;365,"LTCG","STCG")</f>
        <v>LTCG</v>
      </c>
      <c r="N367" s="47" t="n">
        <f aca="false">IF(M367="LTCG",Assumptions!$C$12,Assumptions!$C$11)</f>
        <v>0.125</v>
      </c>
      <c r="O367" s="33" t="str">
        <f aca="false">IF(M367="STCG",MAX(L367,0)*Assumptions!$C$11,"agg. below")</f>
        <v>agg. below</v>
      </c>
    </row>
    <row r="368" customFormat="false" ht="15" hidden="false" customHeight="false" outlineLevel="1" collapsed="false">
      <c r="A368" s="38" t="str">
        <f aca="false">TEXT(SIP_Fund2_HDFCMidcap!B112,"mmm-yyyy")</f>
        <v>Dec-2033</v>
      </c>
      <c r="B368" s="39" t="n">
        <f aca="false">SIP_Fund2_HDFCMidcap!B112</f>
        <v>48914</v>
      </c>
      <c r="C368" s="40" t="n">
        <f aca="false">SIP_Fund2_HDFCMidcap!C112</f>
        <v>11000</v>
      </c>
      <c r="D368" s="41" t="n">
        <f aca="false">SIP_Fund2_HDFCMidcap!D112</f>
        <v>611.471268739996</v>
      </c>
      <c r="E368" s="42" t="n">
        <f aca="false">SIP_Fund2_HDFCMidcap!E112</f>
        <v>17.9893979690439</v>
      </c>
      <c r="F368" s="38" t="n">
        <f aca="false">Assumptions!$C$5-B368</f>
        <v>775</v>
      </c>
      <c r="G368" s="41" t="n">
        <f aca="false">Assumptions!$D$21*(1+Assumptions!$F$21)^((Assumptions!$C$5-Assumptions!$C$4)/365)</f>
        <v>807.609511036577</v>
      </c>
      <c r="H368" s="40" t="n">
        <f aca="false">E368*G368</f>
        <v>14528.408897622</v>
      </c>
      <c r="I368" s="48" t="n">
        <f aca="false">IF(F368&lt;365,Assumptions!$G$21,IF(F368&lt;=730,Assumptions!$H$21,Assumptions!$I$21))</f>
        <v>0</v>
      </c>
      <c r="J368" s="40" t="n">
        <f aca="false">H368*I368</f>
        <v>0</v>
      </c>
      <c r="K368" s="40" t="n">
        <f aca="false">H368-J368</f>
        <v>14528.408897622</v>
      </c>
      <c r="L368" s="40" t="n">
        <f aca="false">K368-C368</f>
        <v>3528.40889762197</v>
      </c>
      <c r="M368" s="38" t="str">
        <f aca="false">IF(F368&gt;365,"LTCG","STCG")</f>
        <v>LTCG</v>
      </c>
      <c r="N368" s="48" t="n">
        <f aca="false">IF(M368="LTCG",Assumptions!$C$12,Assumptions!$C$11)</f>
        <v>0.125</v>
      </c>
      <c r="O368" s="38" t="str">
        <f aca="false">IF(M368="STCG",MAX(L368,0)*Assumptions!$C$11,"agg. below")</f>
        <v>agg. below</v>
      </c>
    </row>
    <row r="369" customFormat="false" ht="15" hidden="false" customHeight="false" outlineLevel="1" collapsed="false">
      <c r="A369" s="33" t="str">
        <f aca="false">TEXT(SIP_Fund2_HDFCMidcap!B113,"mmm-yyyy")</f>
        <v>Jan-2034</v>
      </c>
      <c r="B369" s="34" t="n">
        <f aca="false">SIP_Fund2_HDFCMidcap!B113</f>
        <v>48945</v>
      </c>
      <c r="C369" s="35" t="n">
        <f aca="false">SIP_Fund2_HDFCMidcap!C113</f>
        <v>12000</v>
      </c>
      <c r="D369" s="36" t="n">
        <f aca="false">SIP_Fund2_HDFCMidcap!D113</f>
        <v>618.313986311491</v>
      </c>
      <c r="E369" s="37" t="n">
        <f aca="false">SIP_Fund2_HDFCMidcap!E113</f>
        <v>19.4076153308211</v>
      </c>
      <c r="F369" s="33" t="n">
        <f aca="false">Assumptions!$C$5-B369</f>
        <v>744</v>
      </c>
      <c r="G369" s="36" t="n">
        <f aca="false">Assumptions!$D$21*(1+Assumptions!$F$21)^((Assumptions!$C$5-Assumptions!$C$4)/365)</f>
        <v>807.609511036577</v>
      </c>
      <c r="H369" s="35" t="n">
        <f aca="false">E369*G369</f>
        <v>15673.7747277104</v>
      </c>
      <c r="I369" s="47" t="n">
        <f aca="false">IF(F369&lt;365,Assumptions!$G$21,IF(F369&lt;=730,Assumptions!$H$21,Assumptions!$I$21))</f>
        <v>0</v>
      </c>
      <c r="J369" s="35" t="n">
        <f aca="false">H369*I369</f>
        <v>0</v>
      </c>
      <c r="K369" s="35" t="n">
        <f aca="false">H369-J369</f>
        <v>15673.7747277104</v>
      </c>
      <c r="L369" s="35" t="n">
        <f aca="false">K369-C369</f>
        <v>3673.77472771042</v>
      </c>
      <c r="M369" s="33" t="str">
        <f aca="false">IF(F369&gt;365,"LTCG","STCG")</f>
        <v>LTCG</v>
      </c>
      <c r="N369" s="47" t="n">
        <f aca="false">IF(M369="LTCG",Assumptions!$C$12,Assumptions!$C$11)</f>
        <v>0.125</v>
      </c>
      <c r="O369" s="33" t="str">
        <f aca="false">IF(M369="STCG",MAX(L369,0)*Assumptions!$C$11,"agg. below")</f>
        <v>agg. below</v>
      </c>
    </row>
    <row r="370" customFormat="false" ht="15" hidden="false" customHeight="false" outlineLevel="1" collapsed="false">
      <c r="A370" s="38" t="str">
        <f aca="false">TEXT(SIP_Fund2_HDFCMidcap!B114,"mmm-yyyy")</f>
        <v>Feb-2034</v>
      </c>
      <c r="B370" s="39" t="n">
        <f aca="false">SIP_Fund2_HDFCMidcap!B114</f>
        <v>48976</v>
      </c>
      <c r="C370" s="40" t="n">
        <f aca="false">SIP_Fund2_HDFCMidcap!C114</f>
        <v>12000</v>
      </c>
      <c r="D370" s="41" t="n">
        <f aca="false">SIP_Fund2_HDFCMidcap!D114</f>
        <v>625.233277854907</v>
      </c>
      <c r="E370" s="42" t="n">
        <f aca="false">SIP_Fund2_HDFCMidcap!E114</f>
        <v>19.1928363780802</v>
      </c>
      <c r="F370" s="38" t="n">
        <f aca="false">Assumptions!$C$5-B370</f>
        <v>713</v>
      </c>
      <c r="G370" s="41" t="n">
        <f aca="false">Assumptions!$D$21*(1+Assumptions!$F$21)^((Assumptions!$C$5-Assumptions!$C$4)/365)</f>
        <v>807.609511036577</v>
      </c>
      <c r="H370" s="40" t="n">
        <f aca="false">E370*G370</f>
        <v>15500.3172027064</v>
      </c>
      <c r="I370" s="48" t="n">
        <f aca="false">IF(F370&lt;365,Assumptions!$G$21,IF(F370&lt;=730,Assumptions!$H$21,Assumptions!$I$21))</f>
        <v>0</v>
      </c>
      <c r="J370" s="40" t="n">
        <f aca="false">H370*I370</f>
        <v>0</v>
      </c>
      <c r="K370" s="40" t="n">
        <f aca="false">H370-J370</f>
        <v>15500.3172027064</v>
      </c>
      <c r="L370" s="40" t="n">
        <f aca="false">K370-C370</f>
        <v>3500.31720270641</v>
      </c>
      <c r="M370" s="38" t="str">
        <f aca="false">IF(F370&gt;365,"LTCG","STCG")</f>
        <v>LTCG</v>
      </c>
      <c r="N370" s="48" t="n">
        <f aca="false">IF(M370="LTCG",Assumptions!$C$12,Assumptions!$C$11)</f>
        <v>0.125</v>
      </c>
      <c r="O370" s="38" t="str">
        <f aca="false">IF(M370="STCG",MAX(L370,0)*Assumptions!$C$11,"agg. below")</f>
        <v>agg. below</v>
      </c>
    </row>
    <row r="371" customFormat="false" ht="15" hidden="false" customHeight="false" outlineLevel="1" collapsed="false">
      <c r="A371" s="33" t="str">
        <f aca="false">TEXT(SIP_Fund2_HDFCMidcap!B115,"mmm-yyyy")</f>
        <v>Mar-2034</v>
      </c>
      <c r="B371" s="34" t="n">
        <f aca="false">SIP_Fund2_HDFCMidcap!B115</f>
        <v>49004</v>
      </c>
      <c r="C371" s="35" t="n">
        <f aca="false">SIP_Fund2_HDFCMidcap!C115</f>
        <v>12000</v>
      </c>
      <c r="D371" s="36" t="n">
        <f aca="false">SIP_Fund2_HDFCMidcap!D115</f>
        <v>631.549490080008</v>
      </c>
      <c r="E371" s="37" t="n">
        <f aca="false">SIP_Fund2_HDFCMidcap!E115</f>
        <v>19.0008862147601</v>
      </c>
      <c r="F371" s="33" t="n">
        <f aca="false">Assumptions!$C$5-B371</f>
        <v>685</v>
      </c>
      <c r="G371" s="36" t="n">
        <f aca="false">Assumptions!$D$21*(1+Assumptions!$F$21)^((Assumptions!$C$5-Assumptions!$C$4)/365)</f>
        <v>807.609511036577</v>
      </c>
      <c r="H371" s="35" t="n">
        <f aca="false">E371*G371</f>
        <v>15345.2964251641</v>
      </c>
      <c r="I371" s="47" t="n">
        <f aca="false">IF(F371&lt;365,Assumptions!$G$21,IF(F371&lt;=730,Assumptions!$H$21,Assumptions!$I$21))</f>
        <v>0</v>
      </c>
      <c r="J371" s="35" t="n">
        <f aca="false">H371*I371</f>
        <v>0</v>
      </c>
      <c r="K371" s="35" t="n">
        <f aca="false">H371-J371</f>
        <v>15345.2964251641</v>
      </c>
      <c r="L371" s="35" t="n">
        <f aca="false">K371-C371</f>
        <v>3345.29642516406</v>
      </c>
      <c r="M371" s="33" t="str">
        <f aca="false">IF(F371&gt;365,"LTCG","STCG")</f>
        <v>LTCG</v>
      </c>
      <c r="N371" s="47" t="n">
        <f aca="false">IF(M371="LTCG",Assumptions!$C$12,Assumptions!$C$11)</f>
        <v>0.125</v>
      </c>
      <c r="O371" s="33" t="str">
        <f aca="false">IF(M371="STCG",MAX(L371,0)*Assumptions!$C$11,"agg. below")</f>
        <v>agg. below</v>
      </c>
    </row>
    <row r="372" customFormat="false" ht="15" hidden="false" customHeight="false" outlineLevel="1" collapsed="false">
      <c r="A372" s="38" t="str">
        <f aca="false">TEXT(SIP_Fund2_HDFCMidcap!B116,"mmm-yyyy")</f>
        <v>Apr-2034</v>
      </c>
      <c r="B372" s="39" t="n">
        <f aca="false">SIP_Fund2_HDFCMidcap!B116</f>
        <v>49035</v>
      </c>
      <c r="C372" s="40" t="n">
        <f aca="false">SIP_Fund2_HDFCMidcap!C116</f>
        <v>12000</v>
      </c>
      <c r="D372" s="41" t="n">
        <f aca="false">SIP_Fund2_HDFCMidcap!D116</f>
        <v>638.616894574653</v>
      </c>
      <c r="E372" s="42" t="n">
        <f aca="false">SIP_Fund2_HDFCMidcap!E116</f>
        <v>18.7906084257175</v>
      </c>
      <c r="F372" s="38" t="n">
        <f aca="false">Assumptions!$C$5-B372</f>
        <v>654</v>
      </c>
      <c r="G372" s="41" t="n">
        <f aca="false">Assumptions!$D$21*(1+Assumptions!$F$21)^((Assumptions!$C$5-Assumptions!$C$4)/365)</f>
        <v>807.609511036577</v>
      </c>
      <c r="H372" s="40" t="n">
        <f aca="false">E372*G372</f>
        <v>15175.4740827735</v>
      </c>
      <c r="I372" s="48" t="n">
        <f aca="false">IF(F372&lt;365,Assumptions!$G$21,IF(F372&lt;=730,Assumptions!$H$21,Assumptions!$I$21))</f>
        <v>0</v>
      </c>
      <c r="J372" s="40" t="n">
        <f aca="false">H372*I372</f>
        <v>0</v>
      </c>
      <c r="K372" s="40" t="n">
        <f aca="false">H372-J372</f>
        <v>15175.4740827735</v>
      </c>
      <c r="L372" s="40" t="n">
        <f aca="false">K372-C372</f>
        <v>3175.47408277348</v>
      </c>
      <c r="M372" s="38" t="str">
        <f aca="false">IF(F372&gt;365,"LTCG","STCG")</f>
        <v>LTCG</v>
      </c>
      <c r="N372" s="48" t="n">
        <f aca="false">IF(M372="LTCG",Assumptions!$C$12,Assumptions!$C$11)</f>
        <v>0.125</v>
      </c>
      <c r="O372" s="38" t="str">
        <f aca="false">IF(M372="STCG",MAX(L372,0)*Assumptions!$C$11,"agg. below")</f>
        <v>agg. below</v>
      </c>
    </row>
    <row r="373" customFormat="false" ht="15" hidden="false" customHeight="false" outlineLevel="1" collapsed="false">
      <c r="A373" s="33" t="str">
        <f aca="false">TEXT(SIP_Fund2_HDFCMidcap!B117,"mmm-yyyy")</f>
        <v>May-2034</v>
      </c>
      <c r="B373" s="34" t="n">
        <f aca="false">SIP_Fund2_HDFCMidcap!B117</f>
        <v>49065</v>
      </c>
      <c r="C373" s="35" t="n">
        <f aca="false">SIP_Fund2_HDFCMidcap!C117</f>
        <v>12000</v>
      </c>
      <c r="D373" s="36" t="n">
        <f aca="false">SIP_Fund2_HDFCMidcap!D117</f>
        <v>645.531611886219</v>
      </c>
      <c r="E373" s="37" t="n">
        <f aca="false">SIP_Fund2_HDFCMidcap!E117</f>
        <v>18.5893297540247</v>
      </c>
      <c r="F373" s="33" t="n">
        <f aca="false">Assumptions!$C$5-B373</f>
        <v>624</v>
      </c>
      <c r="G373" s="36" t="n">
        <f aca="false">Assumptions!$D$21*(1+Assumptions!$F$21)^((Assumptions!$C$5-Assumptions!$C$4)/365)</f>
        <v>807.609511036577</v>
      </c>
      <c r="H373" s="35" t="n">
        <f aca="false">E373*G373</f>
        <v>15012.9195131456</v>
      </c>
      <c r="I373" s="47" t="n">
        <f aca="false">IF(F373&lt;365,Assumptions!$G$21,IF(F373&lt;=730,Assumptions!$H$21,Assumptions!$I$21))</f>
        <v>0</v>
      </c>
      <c r="J373" s="35" t="n">
        <f aca="false">H373*I373</f>
        <v>0</v>
      </c>
      <c r="K373" s="35" t="n">
        <f aca="false">H373-J373</f>
        <v>15012.9195131456</v>
      </c>
      <c r="L373" s="35" t="n">
        <f aca="false">K373-C373</f>
        <v>3012.91951314556</v>
      </c>
      <c r="M373" s="33" t="str">
        <f aca="false">IF(F373&gt;365,"LTCG","STCG")</f>
        <v>LTCG</v>
      </c>
      <c r="N373" s="47" t="n">
        <f aca="false">IF(M373="LTCG",Assumptions!$C$12,Assumptions!$C$11)</f>
        <v>0.125</v>
      </c>
      <c r="O373" s="33" t="str">
        <f aca="false">IF(M373="STCG",MAX(L373,0)*Assumptions!$C$11,"agg. below")</f>
        <v>agg. below</v>
      </c>
    </row>
    <row r="374" customFormat="false" ht="15" hidden="false" customHeight="false" outlineLevel="1" collapsed="false">
      <c r="A374" s="38" t="str">
        <f aca="false">TEXT(SIP_Fund2_HDFCMidcap!B118,"mmm-yyyy")</f>
        <v>Jun-2034</v>
      </c>
      <c r="B374" s="39" t="n">
        <f aca="false">SIP_Fund2_HDFCMidcap!B118</f>
        <v>49096</v>
      </c>
      <c r="C374" s="40" t="n">
        <f aca="false">SIP_Fund2_HDFCMidcap!C118</f>
        <v>12000</v>
      </c>
      <c r="D374" s="41" t="n">
        <f aca="false">SIP_Fund2_HDFCMidcap!D118</f>
        <v>652.755484420266</v>
      </c>
      <c r="E374" s="42" t="n">
        <f aca="false">SIP_Fund2_HDFCMidcap!E118</f>
        <v>18.3836065516288</v>
      </c>
      <c r="F374" s="38" t="n">
        <f aca="false">Assumptions!$C$5-B374</f>
        <v>593</v>
      </c>
      <c r="G374" s="41" t="n">
        <f aca="false">Assumptions!$D$21*(1+Assumptions!$F$21)^((Assumptions!$C$5-Assumptions!$C$4)/365)</f>
        <v>807.609511036577</v>
      </c>
      <c r="H374" s="40" t="n">
        <f aca="false">E374*G374</f>
        <v>14846.7754982497</v>
      </c>
      <c r="I374" s="48" t="n">
        <f aca="false">IF(F374&lt;365,Assumptions!$G$21,IF(F374&lt;=730,Assumptions!$H$21,Assumptions!$I$21))</f>
        <v>0</v>
      </c>
      <c r="J374" s="40" t="n">
        <f aca="false">H374*I374</f>
        <v>0</v>
      </c>
      <c r="K374" s="40" t="n">
        <f aca="false">H374-J374</f>
        <v>14846.7754982497</v>
      </c>
      <c r="L374" s="40" t="n">
        <f aca="false">K374-C374</f>
        <v>2846.77549824972</v>
      </c>
      <c r="M374" s="38" t="str">
        <f aca="false">IF(F374&gt;365,"LTCG","STCG")</f>
        <v>LTCG</v>
      </c>
      <c r="N374" s="48" t="n">
        <f aca="false">IF(M374="LTCG",Assumptions!$C$12,Assumptions!$C$11)</f>
        <v>0.125</v>
      </c>
      <c r="O374" s="38" t="str">
        <f aca="false">IF(M374="STCG",MAX(L374,0)*Assumptions!$C$11,"agg. below")</f>
        <v>agg. below</v>
      </c>
    </row>
    <row r="375" customFormat="false" ht="15" hidden="false" customHeight="false" outlineLevel="1" collapsed="false">
      <c r="A375" s="33" t="str">
        <f aca="false">TEXT(SIP_Fund2_HDFCMidcap!B119,"mmm-yyyy")</f>
        <v>Jul-2034</v>
      </c>
      <c r="B375" s="34" t="n">
        <f aca="false">SIP_Fund2_HDFCMidcap!B119</f>
        <v>49126</v>
      </c>
      <c r="C375" s="35" t="n">
        <f aca="false">SIP_Fund2_HDFCMidcap!C119</f>
        <v>12000</v>
      </c>
      <c r="D375" s="36" t="n">
        <f aca="false">SIP_Fund2_HDFCMidcap!D119</f>
        <v>659.823289369815</v>
      </c>
      <c r="E375" s="37" t="n">
        <f aca="false">SIP_Fund2_HDFCMidcap!E119</f>
        <v>18.1866875469961</v>
      </c>
      <c r="F375" s="33" t="n">
        <f aca="false">Assumptions!$C$5-B375</f>
        <v>563</v>
      </c>
      <c r="G375" s="36" t="n">
        <f aca="false">Assumptions!$D$21*(1+Assumptions!$F$21)^((Assumptions!$C$5-Assumptions!$C$4)/365)</f>
        <v>807.609511036577</v>
      </c>
      <c r="H375" s="35" t="n">
        <f aca="false">E375*G375</f>
        <v>14687.7418372045</v>
      </c>
      <c r="I375" s="47" t="n">
        <f aca="false">IF(F375&lt;365,Assumptions!$G$21,IF(F375&lt;=730,Assumptions!$H$21,Assumptions!$I$21))</f>
        <v>0</v>
      </c>
      <c r="J375" s="35" t="n">
        <f aca="false">H375*I375</f>
        <v>0</v>
      </c>
      <c r="K375" s="35" t="n">
        <f aca="false">H375-J375</f>
        <v>14687.7418372045</v>
      </c>
      <c r="L375" s="35" t="n">
        <f aca="false">K375-C375</f>
        <v>2687.7418372045</v>
      </c>
      <c r="M375" s="33" t="str">
        <f aca="false">IF(F375&gt;365,"LTCG","STCG")</f>
        <v>LTCG</v>
      </c>
      <c r="N375" s="47" t="n">
        <f aca="false">IF(M375="LTCG",Assumptions!$C$12,Assumptions!$C$11)</f>
        <v>0.125</v>
      </c>
      <c r="O375" s="33" t="str">
        <f aca="false">IF(M375="STCG",MAX(L375,0)*Assumptions!$C$11,"agg. below")</f>
        <v>agg. below</v>
      </c>
    </row>
    <row r="376" customFormat="false" ht="15" hidden="false" customHeight="false" outlineLevel="1" collapsed="false">
      <c r="A376" s="38" t="str">
        <f aca="false">TEXT(SIP_Fund2_HDFCMidcap!B120,"mmm-yyyy")</f>
        <v>Aug-2034</v>
      </c>
      <c r="B376" s="39" t="n">
        <f aca="false">SIP_Fund2_HDFCMidcap!B120</f>
        <v>49157</v>
      </c>
      <c r="C376" s="40" t="n">
        <f aca="false">SIP_Fund2_HDFCMidcap!C120</f>
        <v>12000</v>
      </c>
      <c r="D376" s="41" t="n">
        <f aca="false">SIP_Fund2_HDFCMidcap!D120</f>
        <v>667.207094050542</v>
      </c>
      <c r="E376" s="42" t="n">
        <f aca="false">SIP_Fund2_HDFCMidcap!E120</f>
        <v>17.9854202795556</v>
      </c>
      <c r="F376" s="38" t="n">
        <f aca="false">Assumptions!$C$5-B376</f>
        <v>532</v>
      </c>
      <c r="G376" s="41" t="n">
        <f aca="false">Assumptions!$D$21*(1+Assumptions!$F$21)^((Assumptions!$C$5-Assumptions!$C$4)/365)</f>
        <v>807.609511036577</v>
      </c>
      <c r="H376" s="40" t="n">
        <f aca="false">E376*G376</f>
        <v>14525.1964777593</v>
      </c>
      <c r="I376" s="48" t="n">
        <f aca="false">IF(F376&lt;365,Assumptions!$G$21,IF(F376&lt;=730,Assumptions!$H$21,Assumptions!$I$21))</f>
        <v>0</v>
      </c>
      <c r="J376" s="40" t="n">
        <f aca="false">H376*I376</f>
        <v>0</v>
      </c>
      <c r="K376" s="40" t="n">
        <f aca="false">H376-J376</f>
        <v>14525.1964777593</v>
      </c>
      <c r="L376" s="40" t="n">
        <f aca="false">K376-C376</f>
        <v>2525.19647775926</v>
      </c>
      <c r="M376" s="38" t="str">
        <f aca="false">IF(F376&gt;365,"LTCG","STCG")</f>
        <v>LTCG</v>
      </c>
      <c r="N376" s="48" t="n">
        <f aca="false">IF(M376="LTCG",Assumptions!$C$12,Assumptions!$C$11)</f>
        <v>0.125</v>
      </c>
      <c r="O376" s="38" t="str">
        <f aca="false">IF(M376="STCG",MAX(L376,0)*Assumptions!$C$11,"agg. below")</f>
        <v>agg. below</v>
      </c>
    </row>
    <row r="377" customFormat="false" ht="15" hidden="false" customHeight="false" outlineLevel="1" collapsed="false">
      <c r="A377" s="33" t="str">
        <f aca="false">TEXT(SIP_Fund2_HDFCMidcap!B121,"mmm-yyyy")</f>
        <v>Sep-2034</v>
      </c>
      <c r="B377" s="34" t="n">
        <f aca="false">SIP_Fund2_HDFCMidcap!B121</f>
        <v>49188</v>
      </c>
      <c r="C377" s="35" t="n">
        <f aca="false">SIP_Fund2_HDFCMidcap!C121</f>
        <v>12000</v>
      </c>
      <c r="D377" s="36" t="n">
        <f aca="false">SIP_Fund2_HDFCMidcap!D121</f>
        <v>674.673527781261</v>
      </c>
      <c r="E377" s="37" t="n">
        <f aca="false">SIP_Fund2_HDFCMidcap!E121</f>
        <v>17.7863803838033</v>
      </c>
      <c r="F377" s="33" t="n">
        <f aca="false">Assumptions!$C$5-B377</f>
        <v>501</v>
      </c>
      <c r="G377" s="36" t="n">
        <f aca="false">Assumptions!$D$21*(1+Assumptions!$F$21)^((Assumptions!$C$5-Assumptions!$C$4)/365)</f>
        <v>807.609511036577</v>
      </c>
      <c r="H377" s="35" t="n">
        <f aca="false">E377*G377</f>
        <v>14364.449964874</v>
      </c>
      <c r="I377" s="47" t="n">
        <f aca="false">IF(F377&lt;365,Assumptions!$G$21,IF(F377&lt;=730,Assumptions!$H$21,Assumptions!$I$21))</f>
        <v>0</v>
      </c>
      <c r="J377" s="35" t="n">
        <f aca="false">H377*I377</f>
        <v>0</v>
      </c>
      <c r="K377" s="35" t="n">
        <f aca="false">H377-J377</f>
        <v>14364.449964874</v>
      </c>
      <c r="L377" s="35" t="n">
        <f aca="false">K377-C377</f>
        <v>2364.44996487396</v>
      </c>
      <c r="M377" s="33" t="str">
        <f aca="false">IF(F377&gt;365,"LTCG","STCG")</f>
        <v>LTCG</v>
      </c>
      <c r="N377" s="47" t="n">
        <f aca="false">IF(M377="LTCG",Assumptions!$C$12,Assumptions!$C$11)</f>
        <v>0.125</v>
      </c>
      <c r="O377" s="33" t="str">
        <f aca="false">IF(M377="STCG",MAX(L377,0)*Assumptions!$C$11,"agg. below")</f>
        <v>agg. below</v>
      </c>
    </row>
    <row r="378" customFormat="false" ht="15" hidden="false" customHeight="false" outlineLevel="1" collapsed="false">
      <c r="A378" s="38" t="str">
        <f aca="false">TEXT(SIP_Fund2_HDFCMidcap!B122,"mmm-yyyy")</f>
        <v>Oct-2034</v>
      </c>
      <c r="B378" s="39" t="n">
        <f aca="false">SIP_Fund2_HDFCMidcap!B122</f>
        <v>49218</v>
      </c>
      <c r="C378" s="40" t="n">
        <f aca="false">SIP_Fund2_HDFCMidcap!C122</f>
        <v>12000</v>
      </c>
      <c r="D378" s="41" t="n">
        <f aca="false">SIP_Fund2_HDFCMidcap!D122</f>
        <v>681.978653533238</v>
      </c>
      <c r="E378" s="42" t="n">
        <f aca="false">SIP_Fund2_HDFCMidcap!E122</f>
        <v>17.5958586648272</v>
      </c>
      <c r="F378" s="38" t="n">
        <f aca="false">Assumptions!$C$5-B378</f>
        <v>471</v>
      </c>
      <c r="G378" s="41" t="n">
        <f aca="false">Assumptions!$D$21*(1+Assumptions!$F$21)^((Assumptions!$C$5-Assumptions!$C$4)/365)</f>
        <v>807.609511036577</v>
      </c>
      <c r="H378" s="40" t="n">
        <f aca="false">E378*G378</f>
        <v>14210.5828125698</v>
      </c>
      <c r="I378" s="48" t="n">
        <f aca="false">IF(F378&lt;365,Assumptions!$G$21,IF(F378&lt;=730,Assumptions!$H$21,Assumptions!$I$21))</f>
        <v>0</v>
      </c>
      <c r="J378" s="40" t="n">
        <f aca="false">H378*I378</f>
        <v>0</v>
      </c>
      <c r="K378" s="40" t="n">
        <f aca="false">H378-J378</f>
        <v>14210.5828125698</v>
      </c>
      <c r="L378" s="40" t="n">
        <f aca="false">K378-C378</f>
        <v>2210.58281256981</v>
      </c>
      <c r="M378" s="38" t="str">
        <f aca="false">IF(F378&gt;365,"LTCG","STCG")</f>
        <v>LTCG</v>
      </c>
      <c r="N378" s="48" t="n">
        <f aca="false">IF(M378="LTCG",Assumptions!$C$12,Assumptions!$C$11)</f>
        <v>0.125</v>
      </c>
      <c r="O378" s="38" t="str">
        <f aca="false">IF(M378="STCG",MAX(L378,0)*Assumptions!$C$11,"agg. below")</f>
        <v>agg. below</v>
      </c>
    </row>
    <row r="379" customFormat="false" ht="15" hidden="false" customHeight="false" outlineLevel="1" collapsed="false">
      <c r="A379" s="33" t="str">
        <f aca="false">TEXT(SIP_Fund2_HDFCMidcap!B123,"mmm-yyyy")</f>
        <v>Nov-2034</v>
      </c>
      <c r="B379" s="34" t="n">
        <f aca="false">SIP_Fund2_HDFCMidcap!B123</f>
        <v>49249</v>
      </c>
      <c r="C379" s="35" t="n">
        <f aca="false">SIP_Fund2_HDFCMidcap!C123</f>
        <v>12000</v>
      </c>
      <c r="D379" s="36" t="n">
        <f aca="false">SIP_Fund2_HDFCMidcap!D123</f>
        <v>689.610389568084</v>
      </c>
      <c r="E379" s="37" t="n">
        <f aca="false">SIP_Fund2_HDFCMidcap!E123</f>
        <v>17.4011299445703</v>
      </c>
      <c r="F379" s="33" t="n">
        <f aca="false">Assumptions!$C$5-B379</f>
        <v>440</v>
      </c>
      <c r="G379" s="36" t="n">
        <f aca="false">Assumptions!$D$21*(1+Assumptions!$F$21)^((Assumptions!$C$5-Assumptions!$C$4)/365)</f>
        <v>807.609511036577</v>
      </c>
      <c r="H379" s="35" t="n">
        <f aca="false">E379*G379</f>
        <v>14053.3180460184</v>
      </c>
      <c r="I379" s="47" t="n">
        <f aca="false">IF(F379&lt;365,Assumptions!$G$21,IF(F379&lt;=730,Assumptions!$H$21,Assumptions!$I$21))</f>
        <v>0</v>
      </c>
      <c r="J379" s="35" t="n">
        <f aca="false">H379*I379</f>
        <v>0</v>
      </c>
      <c r="K379" s="35" t="n">
        <f aca="false">H379-J379</f>
        <v>14053.3180460184</v>
      </c>
      <c r="L379" s="35" t="n">
        <f aca="false">K379-C379</f>
        <v>2053.31804601838</v>
      </c>
      <c r="M379" s="33" t="str">
        <f aca="false">IF(F379&gt;365,"LTCG","STCG")</f>
        <v>LTCG</v>
      </c>
      <c r="N379" s="47" t="n">
        <f aca="false">IF(M379="LTCG",Assumptions!$C$12,Assumptions!$C$11)</f>
        <v>0.125</v>
      </c>
      <c r="O379" s="33" t="str">
        <f aca="false">IF(M379="STCG",MAX(L379,0)*Assumptions!$C$11,"agg. below")</f>
        <v>agg. below</v>
      </c>
    </row>
    <row r="380" customFormat="false" ht="15" hidden="false" customHeight="false" outlineLevel="1" collapsed="false">
      <c r="A380" s="38" t="str">
        <f aca="false">TEXT(SIP_Fund2_HDFCMidcap!B124,"mmm-yyyy")</f>
        <v>Dec-2034</v>
      </c>
      <c r="B380" s="39" t="n">
        <f aca="false">SIP_Fund2_HDFCMidcap!B124</f>
        <v>49279</v>
      </c>
      <c r="C380" s="40" t="n">
        <f aca="false">SIP_Fund2_HDFCMidcap!C124</f>
        <v>12000</v>
      </c>
      <c r="D380" s="41" t="n">
        <f aca="false">SIP_Fund2_HDFCMidcap!D124</f>
        <v>697.077246363595</v>
      </c>
      <c r="E380" s="42" t="n">
        <f aca="false">SIP_Fund2_HDFCMidcap!E124</f>
        <v>17.2147348986066</v>
      </c>
      <c r="F380" s="38" t="n">
        <f aca="false">Assumptions!$C$5-B380</f>
        <v>410</v>
      </c>
      <c r="G380" s="41" t="n">
        <f aca="false">Assumptions!$D$21*(1+Assumptions!$F$21)^((Assumptions!$C$5-Assumptions!$C$4)/365)</f>
        <v>807.609511036577</v>
      </c>
      <c r="H380" s="40" t="n">
        <f aca="false">E380*G380</f>
        <v>13902.783634088</v>
      </c>
      <c r="I380" s="48" t="n">
        <f aca="false">IF(F380&lt;365,Assumptions!$G$21,IF(F380&lt;=730,Assumptions!$H$21,Assumptions!$I$21))</f>
        <v>0</v>
      </c>
      <c r="J380" s="40" t="n">
        <f aca="false">H380*I380</f>
        <v>0</v>
      </c>
      <c r="K380" s="40" t="n">
        <f aca="false">H380-J380</f>
        <v>13902.783634088</v>
      </c>
      <c r="L380" s="40" t="n">
        <f aca="false">K380-C380</f>
        <v>1902.78363408802</v>
      </c>
      <c r="M380" s="38" t="str">
        <f aca="false">IF(F380&gt;365,"LTCG","STCG")</f>
        <v>LTCG</v>
      </c>
      <c r="N380" s="48" t="n">
        <f aca="false">IF(M380="LTCG",Assumptions!$C$12,Assumptions!$C$11)</f>
        <v>0.125</v>
      </c>
      <c r="O380" s="38" t="str">
        <f aca="false">IF(M380="STCG",MAX(L380,0)*Assumptions!$C$11,"agg. below")</f>
        <v>agg. below</v>
      </c>
    </row>
    <row r="381" customFormat="false" ht="15" hidden="false" customHeight="false" outlineLevel="0" collapsed="false">
      <c r="A381" s="49" t="s">
        <v>147</v>
      </c>
      <c r="B381" s="49"/>
      <c r="C381" s="44" t="n">
        <f aca="false">SUM(C261:C380)</f>
        <v>900000</v>
      </c>
      <c r="D381" s="49"/>
      <c r="E381" s="49"/>
      <c r="F381" s="49"/>
      <c r="G381" s="49"/>
      <c r="H381" s="44" t="n">
        <f aca="false">SUM(H261:H380)</f>
        <v>1843195.03702365</v>
      </c>
      <c r="I381" s="49"/>
      <c r="J381" s="44" t="n">
        <f aca="false">SUM(J261:J380)</f>
        <v>0</v>
      </c>
      <c r="K381" s="44" t="n">
        <f aca="false">SUM(K261:K380)</f>
        <v>1843195.03702365</v>
      </c>
      <c r="L381" s="44" t="n">
        <f aca="false">SUM(L261:L380)</f>
        <v>943195.037023652</v>
      </c>
      <c r="M381" s="49"/>
      <c r="N381" s="49"/>
      <c r="O381" s="44" t="n">
        <f aca="false">SUMIF(M261:M380,"STCG",O261:O380)+MAX(0,SUMIF(M261:M380,"LTCG",L261:L380)-Assumptions!$C$13)*Assumptions!$C$12</f>
        <v>102274.379627957</v>
      </c>
    </row>
    <row r="382" customFormat="false" ht="15" hidden="false" customHeight="false" outlineLevel="0" collapsed="false">
      <c r="A382" s="50" t="s">
        <v>148</v>
      </c>
      <c r="B382" s="50"/>
      <c r="C382" s="50"/>
      <c r="D382" s="50"/>
      <c r="E382" s="50"/>
      <c r="F382" s="50"/>
      <c r="G382" s="50"/>
      <c r="H382" s="50"/>
      <c r="I382" s="50"/>
      <c r="J382" s="50"/>
      <c r="K382" s="50"/>
      <c r="L382" s="50"/>
      <c r="M382" s="50"/>
      <c r="N382" s="50"/>
      <c r="O382" s="51" t="n">
        <f aca="false">K381-O381</f>
        <v>1740920.6573957</v>
      </c>
    </row>
    <row r="384" customFormat="false" ht="15" hidden="false" customHeight="false" outlineLevel="0" collapsed="false">
      <c r="A384" s="5" t="s">
        <v>149</v>
      </c>
    </row>
    <row r="385" customFormat="false" ht="25.5" hidden="false" customHeight="true" outlineLevel="0" collapsed="false">
      <c r="A385" s="46" t="s">
        <v>132</v>
      </c>
      <c r="B385" s="46" t="s">
        <v>133</v>
      </c>
      <c r="C385" s="46" t="s">
        <v>134</v>
      </c>
      <c r="D385" s="46" t="s">
        <v>135</v>
      </c>
      <c r="E385" s="46" t="s">
        <v>136</v>
      </c>
      <c r="F385" s="46" t="s">
        <v>137</v>
      </c>
      <c r="G385" s="46" t="s">
        <v>138</v>
      </c>
      <c r="H385" s="46" t="s">
        <v>139</v>
      </c>
      <c r="I385" s="46" t="s">
        <v>140</v>
      </c>
      <c r="J385" s="46" t="s">
        <v>141</v>
      </c>
      <c r="K385" s="46" t="s">
        <v>142</v>
      </c>
      <c r="L385" s="46" t="s">
        <v>143</v>
      </c>
      <c r="M385" s="46" t="s">
        <v>144</v>
      </c>
      <c r="N385" s="46" t="s">
        <v>145</v>
      </c>
      <c r="O385" s="46" t="s">
        <v>146</v>
      </c>
    </row>
    <row r="386" customFormat="false" ht="15" hidden="false" customHeight="false" outlineLevel="1" collapsed="false">
      <c r="A386" s="33" t="str">
        <f aca="false">TEXT(SIP_Fund2_HDFCMidcap!B5,"mmm-yyyy")</f>
        <v>Jan-2025</v>
      </c>
      <c r="B386" s="34" t="n">
        <f aca="false">SIP_Fund2_HDFCMidcap!B5</f>
        <v>45658</v>
      </c>
      <c r="C386" s="35" t="n">
        <f aca="false">SIP_Fund2_HDFCMidcap!C5</f>
        <v>3000</v>
      </c>
      <c r="D386" s="36" t="n">
        <f aca="false">SIP_Fund2_HDFCMidcap!H5</f>
        <v>168</v>
      </c>
      <c r="E386" s="37" t="n">
        <f aca="false">SIP_Fund2_HDFCMidcap!I5</f>
        <v>17.8571428571429</v>
      </c>
      <c r="F386" s="33" t="n">
        <f aca="false">Assumptions!$C$5-B386</f>
        <v>4031</v>
      </c>
      <c r="G386" s="36" t="n">
        <f aca="false">Assumptions!$D$22*(1+Assumptions!$F$22)^((Assumptions!$C$5-Assumptions!$C$4)/365)</f>
        <v>681.584366566089</v>
      </c>
      <c r="H386" s="35" t="n">
        <f aca="false">E386*G386</f>
        <v>12171.1494029659</v>
      </c>
      <c r="I386" s="47" t="n">
        <f aca="false">IF(F386&lt;365,Assumptions!$G$22,IF(F386&lt;=730,Assumptions!$H$22,Assumptions!$I$22))</f>
        <v>0</v>
      </c>
      <c r="J386" s="35" t="n">
        <f aca="false">H386*I386</f>
        <v>0</v>
      </c>
      <c r="K386" s="35" t="n">
        <f aca="false">H386-J386</f>
        <v>12171.1494029659</v>
      </c>
      <c r="L386" s="35" t="n">
        <f aca="false">K386-C386</f>
        <v>9171.14940296588</v>
      </c>
      <c r="M386" s="33" t="str">
        <f aca="false">IF(F386&gt;365,"LTCG","STCG")</f>
        <v>LTCG</v>
      </c>
      <c r="N386" s="47" t="n">
        <f aca="false">IF(M386="LTCG",Assumptions!$C$12,Assumptions!$C$11)</f>
        <v>0.125</v>
      </c>
      <c r="O386" s="33" t="str">
        <f aca="false">IF(M386="STCG",MAX(L386,0)*Assumptions!$C$11,"agg. below")</f>
        <v>agg. below</v>
      </c>
    </row>
    <row r="387" customFormat="false" ht="15" hidden="false" customHeight="false" outlineLevel="1" collapsed="false">
      <c r="A387" s="38" t="str">
        <f aca="false">TEXT(SIP_Fund2_HDFCMidcap!B6,"mmm-yyyy")</f>
        <v>Feb-2025</v>
      </c>
      <c r="B387" s="39" t="n">
        <f aca="false">SIP_Fund2_HDFCMidcap!B6</f>
        <v>45689</v>
      </c>
      <c r="C387" s="40" t="n">
        <f aca="false">SIP_Fund2_HDFCMidcap!C6</f>
        <v>3000</v>
      </c>
      <c r="D387" s="41" t="n">
        <f aca="false">SIP_Fund2_HDFCMidcap!H6</f>
        <v>169.819149760598</v>
      </c>
      <c r="E387" s="42" t="n">
        <f aca="false">SIP_Fund2_HDFCMidcap!I6</f>
        <v>17.6658521976422</v>
      </c>
      <c r="F387" s="38" t="n">
        <f aca="false">Assumptions!$C$5-B387</f>
        <v>4000</v>
      </c>
      <c r="G387" s="41" t="n">
        <f aca="false">Assumptions!$D$22*(1+Assumptions!$F$22)^((Assumptions!$C$5-Assumptions!$C$4)/365)</f>
        <v>681.584366566089</v>
      </c>
      <c r="H387" s="40" t="n">
        <f aca="false">E387*G387</f>
        <v>12040.7686799801</v>
      </c>
      <c r="I387" s="48" t="n">
        <f aca="false">IF(F387&lt;365,Assumptions!$G$22,IF(F387&lt;=730,Assumptions!$H$22,Assumptions!$I$22))</f>
        <v>0</v>
      </c>
      <c r="J387" s="40" t="n">
        <f aca="false">H387*I387</f>
        <v>0</v>
      </c>
      <c r="K387" s="40" t="n">
        <f aca="false">H387-J387</f>
        <v>12040.7686799801</v>
      </c>
      <c r="L387" s="40" t="n">
        <f aca="false">K387-C387</f>
        <v>9040.76867998013</v>
      </c>
      <c r="M387" s="38" t="str">
        <f aca="false">IF(F387&gt;365,"LTCG","STCG")</f>
        <v>LTCG</v>
      </c>
      <c r="N387" s="48" t="n">
        <f aca="false">IF(M387="LTCG",Assumptions!$C$12,Assumptions!$C$11)</f>
        <v>0.125</v>
      </c>
      <c r="O387" s="38" t="str">
        <f aca="false">IF(M387="STCG",MAX(L387,0)*Assumptions!$C$11,"agg. below")</f>
        <v>agg. below</v>
      </c>
    </row>
    <row r="388" customFormat="false" ht="15" hidden="false" customHeight="false" outlineLevel="1" collapsed="false">
      <c r="A388" s="33" t="str">
        <f aca="false">TEXT(SIP_Fund2_HDFCMidcap!B7,"mmm-yyyy")</f>
        <v>Mar-2025</v>
      </c>
      <c r="B388" s="34" t="n">
        <f aca="false">SIP_Fund2_HDFCMidcap!B7</f>
        <v>45717</v>
      </c>
      <c r="C388" s="35" t="n">
        <f aca="false">SIP_Fund2_HDFCMidcap!C7</f>
        <v>3000</v>
      </c>
      <c r="D388" s="36" t="n">
        <f aca="false">SIP_Fund2_HDFCMidcap!H7</f>
        <v>171.479177938962</v>
      </c>
      <c r="E388" s="37" t="n">
        <f aca="false">SIP_Fund2_HDFCMidcap!I7</f>
        <v>17.4948354433321</v>
      </c>
      <c r="F388" s="33" t="n">
        <f aca="false">Assumptions!$C$5-B388</f>
        <v>3972</v>
      </c>
      <c r="G388" s="36" t="n">
        <f aca="false">Assumptions!$D$22*(1+Assumptions!$F$22)^((Assumptions!$C$5-Assumptions!$C$4)/365)</f>
        <v>681.584366566089</v>
      </c>
      <c r="H388" s="35" t="n">
        <f aca="false">E388*G388</f>
        <v>11924.2063338215</v>
      </c>
      <c r="I388" s="47" t="n">
        <f aca="false">IF(F388&lt;365,Assumptions!$G$22,IF(F388&lt;=730,Assumptions!$H$22,Assumptions!$I$22))</f>
        <v>0</v>
      </c>
      <c r="J388" s="35" t="n">
        <f aca="false">H388*I388</f>
        <v>0</v>
      </c>
      <c r="K388" s="35" t="n">
        <f aca="false">H388-J388</f>
        <v>11924.2063338215</v>
      </c>
      <c r="L388" s="35" t="n">
        <f aca="false">K388-C388</f>
        <v>8924.20633382148</v>
      </c>
      <c r="M388" s="33" t="str">
        <f aca="false">IF(F388&gt;365,"LTCG","STCG")</f>
        <v>LTCG</v>
      </c>
      <c r="N388" s="47" t="n">
        <f aca="false">IF(M388="LTCG",Assumptions!$C$12,Assumptions!$C$11)</f>
        <v>0.125</v>
      </c>
      <c r="O388" s="33" t="str">
        <f aca="false">IF(M388="STCG",MAX(L388,0)*Assumptions!$C$11,"agg. below")</f>
        <v>agg. below</v>
      </c>
    </row>
    <row r="389" customFormat="false" ht="15" hidden="false" customHeight="false" outlineLevel="1" collapsed="false">
      <c r="A389" s="38" t="str">
        <f aca="false">TEXT(SIP_Fund2_HDFCMidcap!B8,"mmm-yyyy")</f>
        <v>Apr-2025</v>
      </c>
      <c r="B389" s="39" t="n">
        <f aca="false">SIP_Fund2_HDFCMidcap!B8</f>
        <v>45748</v>
      </c>
      <c r="C389" s="40" t="n">
        <f aca="false">SIP_Fund2_HDFCMidcap!C8</f>
        <v>3000</v>
      </c>
      <c r="D389" s="41" t="n">
        <f aca="false">SIP_Fund2_HDFCMidcap!H8</f>
        <v>173.336001185957</v>
      </c>
      <c r="E389" s="42" t="n">
        <f aca="false">SIP_Fund2_HDFCMidcap!I8</f>
        <v>17.3074259211827</v>
      </c>
      <c r="F389" s="38" t="n">
        <f aca="false">Assumptions!$C$5-B389</f>
        <v>3941</v>
      </c>
      <c r="G389" s="41" t="n">
        <f aca="false">Assumptions!$D$22*(1+Assumptions!$F$22)^((Assumptions!$C$5-Assumptions!$C$4)/365)</f>
        <v>681.584366566089</v>
      </c>
      <c r="H389" s="40" t="n">
        <f aca="false">E389*G389</f>
        <v>11796.4709333789</v>
      </c>
      <c r="I389" s="48" t="n">
        <f aca="false">IF(F389&lt;365,Assumptions!$G$22,IF(F389&lt;=730,Assumptions!$H$22,Assumptions!$I$22))</f>
        <v>0</v>
      </c>
      <c r="J389" s="40" t="n">
        <f aca="false">H389*I389</f>
        <v>0</v>
      </c>
      <c r="K389" s="40" t="n">
        <f aca="false">H389-J389</f>
        <v>11796.4709333789</v>
      </c>
      <c r="L389" s="40" t="n">
        <f aca="false">K389-C389</f>
        <v>8796.47093337885</v>
      </c>
      <c r="M389" s="38" t="str">
        <f aca="false">IF(F389&gt;365,"LTCG","STCG")</f>
        <v>LTCG</v>
      </c>
      <c r="N389" s="48" t="n">
        <f aca="false">IF(M389="LTCG",Assumptions!$C$12,Assumptions!$C$11)</f>
        <v>0.125</v>
      </c>
      <c r="O389" s="38" t="str">
        <f aca="false">IF(M389="STCG",MAX(L389,0)*Assumptions!$C$11,"agg. below")</f>
        <v>agg. below</v>
      </c>
    </row>
    <row r="390" customFormat="false" ht="15" hidden="false" customHeight="false" outlineLevel="1" collapsed="false">
      <c r="A390" s="33" t="str">
        <f aca="false">TEXT(SIP_Fund2_HDFCMidcap!B9,"mmm-yyyy")</f>
        <v>May-2025</v>
      </c>
      <c r="B390" s="34" t="n">
        <f aca="false">SIP_Fund2_HDFCMidcap!B9</f>
        <v>45778</v>
      </c>
      <c r="C390" s="35" t="n">
        <f aca="false">SIP_Fund2_HDFCMidcap!C9</f>
        <v>3000</v>
      </c>
      <c r="D390" s="36" t="n">
        <f aca="false">SIP_Fund2_HDFCMidcap!H9</f>
        <v>175.152068454996</v>
      </c>
      <c r="E390" s="37" t="n">
        <f aca="false">SIP_Fund2_HDFCMidcap!I9</f>
        <v>17.1279735744076</v>
      </c>
      <c r="F390" s="33" t="n">
        <f aca="false">Assumptions!$C$5-B390</f>
        <v>3911</v>
      </c>
      <c r="G390" s="36" t="n">
        <f aca="false">Assumptions!$D$22*(1+Assumptions!$F$22)^((Assumptions!$C$5-Assumptions!$C$4)/365)</f>
        <v>681.584366566089</v>
      </c>
      <c r="H390" s="35" t="n">
        <f aca="false">E390*G390</f>
        <v>11674.1590192733</v>
      </c>
      <c r="I390" s="47" t="n">
        <f aca="false">IF(F390&lt;365,Assumptions!$G$22,IF(F390&lt;=730,Assumptions!$H$22,Assumptions!$I$22))</f>
        <v>0</v>
      </c>
      <c r="J390" s="35" t="n">
        <f aca="false">H390*I390</f>
        <v>0</v>
      </c>
      <c r="K390" s="35" t="n">
        <f aca="false">H390-J390</f>
        <v>11674.1590192733</v>
      </c>
      <c r="L390" s="35" t="n">
        <f aca="false">K390-C390</f>
        <v>8674.15901927334</v>
      </c>
      <c r="M390" s="33" t="str">
        <f aca="false">IF(F390&gt;365,"LTCG","STCG")</f>
        <v>LTCG</v>
      </c>
      <c r="N390" s="47" t="n">
        <f aca="false">IF(M390="LTCG",Assumptions!$C$12,Assumptions!$C$11)</f>
        <v>0.125</v>
      </c>
      <c r="O390" s="33" t="str">
        <f aca="false">IF(M390="STCG",MAX(L390,0)*Assumptions!$C$11,"agg. below")</f>
        <v>agg. below</v>
      </c>
    </row>
    <row r="391" customFormat="false" ht="15" hidden="false" customHeight="false" outlineLevel="1" collapsed="false">
      <c r="A391" s="38" t="str">
        <f aca="false">TEXT(SIP_Fund2_HDFCMidcap!B10,"mmm-yyyy")</f>
        <v>Jun-2025</v>
      </c>
      <c r="B391" s="39" t="n">
        <f aca="false">SIP_Fund2_HDFCMidcap!B10</f>
        <v>45809</v>
      </c>
      <c r="C391" s="40" t="n">
        <f aca="false">SIP_Fund2_HDFCMidcap!C10</f>
        <v>3000</v>
      </c>
      <c r="D391" s="41" t="n">
        <f aca="false">SIP_Fund2_HDFCMidcap!H10</f>
        <v>177.048662760937</v>
      </c>
      <c r="E391" s="42" t="n">
        <f aca="false">SIP_Fund2_HDFCMidcap!I10</f>
        <v>16.944493978194</v>
      </c>
      <c r="F391" s="38" t="n">
        <f aca="false">Assumptions!$C$5-B391</f>
        <v>3880</v>
      </c>
      <c r="G391" s="41" t="n">
        <f aca="false">Assumptions!$D$22*(1+Assumptions!$F$22)^((Assumptions!$C$5-Assumptions!$C$4)/365)</f>
        <v>681.584366566089</v>
      </c>
      <c r="H391" s="40" t="n">
        <f aca="false">E391*G391</f>
        <v>11549.1021949103</v>
      </c>
      <c r="I391" s="48" t="n">
        <f aca="false">IF(F391&lt;365,Assumptions!$G$22,IF(F391&lt;=730,Assumptions!$H$22,Assumptions!$I$22))</f>
        <v>0</v>
      </c>
      <c r="J391" s="40" t="n">
        <f aca="false">H391*I391</f>
        <v>0</v>
      </c>
      <c r="K391" s="40" t="n">
        <f aca="false">H391-J391</f>
        <v>11549.1021949103</v>
      </c>
      <c r="L391" s="40" t="n">
        <f aca="false">K391-C391</f>
        <v>8549.10219491026</v>
      </c>
      <c r="M391" s="38" t="str">
        <f aca="false">IF(F391&gt;365,"LTCG","STCG")</f>
        <v>LTCG</v>
      </c>
      <c r="N391" s="48" t="n">
        <f aca="false">IF(M391="LTCG",Assumptions!$C$12,Assumptions!$C$11)</f>
        <v>0.125</v>
      </c>
      <c r="O391" s="38" t="str">
        <f aca="false">IF(M391="STCG",MAX(L391,0)*Assumptions!$C$11,"agg. below")</f>
        <v>agg. below</v>
      </c>
    </row>
    <row r="392" customFormat="false" ht="15" hidden="false" customHeight="false" outlineLevel="1" collapsed="false">
      <c r="A392" s="33" t="str">
        <f aca="false">TEXT(SIP_Fund2_HDFCMidcap!B11,"mmm-yyyy")</f>
        <v>Jul-2025</v>
      </c>
      <c r="B392" s="34" t="n">
        <f aca="false">SIP_Fund2_HDFCMidcap!B11</f>
        <v>45839</v>
      </c>
      <c r="C392" s="35" t="n">
        <f aca="false">SIP_Fund2_HDFCMidcap!C11</f>
        <v>3000</v>
      </c>
      <c r="D392" s="36" t="n">
        <f aca="false">SIP_Fund2_HDFCMidcap!H11</f>
        <v>178.903628141858</v>
      </c>
      <c r="E392" s="37" t="n">
        <f aca="false">SIP_Fund2_HDFCMidcap!I11</f>
        <v>16.768804697584</v>
      </c>
      <c r="F392" s="33" t="n">
        <f aca="false">Assumptions!$C$5-B392</f>
        <v>3850</v>
      </c>
      <c r="G392" s="36" t="n">
        <f aca="false">Assumptions!$D$22*(1+Assumptions!$F$22)^((Assumptions!$C$5-Assumptions!$C$4)/365)</f>
        <v>681.584366566089</v>
      </c>
      <c r="H392" s="35" t="n">
        <f aca="false">E392*G392</f>
        <v>11429.3551278732</v>
      </c>
      <c r="I392" s="47" t="n">
        <f aca="false">IF(F392&lt;365,Assumptions!$G$22,IF(F392&lt;=730,Assumptions!$H$22,Assumptions!$I$22))</f>
        <v>0</v>
      </c>
      <c r="J392" s="35" t="n">
        <f aca="false">H392*I392</f>
        <v>0</v>
      </c>
      <c r="K392" s="35" t="n">
        <f aca="false">H392-J392</f>
        <v>11429.3551278732</v>
      </c>
      <c r="L392" s="35" t="n">
        <f aca="false">K392-C392</f>
        <v>8429.35512787323</v>
      </c>
      <c r="M392" s="33" t="str">
        <f aca="false">IF(F392&gt;365,"LTCG","STCG")</f>
        <v>LTCG</v>
      </c>
      <c r="N392" s="47" t="n">
        <f aca="false">IF(M392="LTCG",Assumptions!$C$12,Assumptions!$C$11)</f>
        <v>0.125</v>
      </c>
      <c r="O392" s="33" t="str">
        <f aca="false">IF(M392="STCG",MAX(L392,0)*Assumptions!$C$11,"agg. below")</f>
        <v>agg. below</v>
      </c>
    </row>
    <row r="393" customFormat="false" ht="15" hidden="false" customHeight="false" outlineLevel="1" collapsed="false">
      <c r="A393" s="38" t="str">
        <f aca="false">TEXT(SIP_Fund2_HDFCMidcap!B12,"mmm-yyyy")</f>
        <v>Aug-2025</v>
      </c>
      <c r="B393" s="39" t="n">
        <f aca="false">SIP_Fund2_HDFCMidcap!B12</f>
        <v>45870</v>
      </c>
      <c r="C393" s="40" t="n">
        <f aca="false">SIP_Fund2_HDFCMidcap!C12</f>
        <v>3000</v>
      </c>
      <c r="D393" s="41" t="n">
        <f aca="false">SIP_Fund2_HDFCMidcap!H12</f>
        <v>180.840845357956</v>
      </c>
      <c r="E393" s="42" t="n">
        <f aca="false">SIP_Fund2_HDFCMidcap!I12</f>
        <v>16.5891726178442</v>
      </c>
      <c r="F393" s="38" t="n">
        <f aca="false">Assumptions!$C$5-B393</f>
        <v>3819</v>
      </c>
      <c r="G393" s="41" t="n">
        <f aca="false">Assumptions!$D$22*(1+Assumptions!$F$22)^((Assumptions!$C$5-Assumptions!$C$4)/365)</f>
        <v>681.584366566089</v>
      </c>
      <c r="H393" s="40" t="n">
        <f aca="false">E393*G393</f>
        <v>11306.9207105889</v>
      </c>
      <c r="I393" s="48" t="n">
        <f aca="false">IF(F393&lt;365,Assumptions!$G$22,IF(F393&lt;=730,Assumptions!$H$22,Assumptions!$I$22))</f>
        <v>0</v>
      </c>
      <c r="J393" s="40" t="n">
        <f aca="false">H393*I393</f>
        <v>0</v>
      </c>
      <c r="K393" s="40" t="n">
        <f aca="false">H393-J393</f>
        <v>11306.9207105889</v>
      </c>
      <c r="L393" s="40" t="n">
        <f aca="false">K393-C393</f>
        <v>8306.92071058888</v>
      </c>
      <c r="M393" s="38" t="str">
        <f aca="false">IF(F393&gt;365,"LTCG","STCG")</f>
        <v>LTCG</v>
      </c>
      <c r="N393" s="48" t="n">
        <f aca="false">IF(M393="LTCG",Assumptions!$C$12,Assumptions!$C$11)</f>
        <v>0.125</v>
      </c>
      <c r="O393" s="38" t="str">
        <f aca="false">IF(M393="STCG",MAX(L393,0)*Assumptions!$C$11,"agg. below")</f>
        <v>agg. below</v>
      </c>
    </row>
    <row r="394" customFormat="false" ht="15" hidden="false" customHeight="false" outlineLevel="1" collapsed="false">
      <c r="A394" s="33" t="str">
        <f aca="false">TEXT(SIP_Fund2_HDFCMidcap!B13,"mmm-yyyy")</f>
        <v>Sep-2025</v>
      </c>
      <c r="B394" s="34" t="n">
        <f aca="false">SIP_Fund2_HDFCMidcap!B13</f>
        <v>45901</v>
      </c>
      <c r="C394" s="35" t="n">
        <f aca="false">SIP_Fund2_HDFCMidcap!C13</f>
        <v>3000</v>
      </c>
      <c r="D394" s="36" t="n">
        <f aca="false">SIP_Fund2_HDFCMidcap!H13</f>
        <v>182.799039289737</v>
      </c>
      <c r="E394" s="37" t="n">
        <f aca="false">SIP_Fund2_HDFCMidcap!I13</f>
        <v>16.4114648066886</v>
      </c>
      <c r="F394" s="33" t="n">
        <f aca="false">Assumptions!$C$5-B394</f>
        <v>3788</v>
      </c>
      <c r="G394" s="36" t="n">
        <f aca="false">Assumptions!$D$22*(1+Assumptions!$F$22)^((Assumptions!$C$5-Assumptions!$C$4)/365)</f>
        <v>681.584366566089</v>
      </c>
      <c r="H394" s="35" t="n">
        <f aca="false">E394*G394</f>
        <v>11185.7978446885</v>
      </c>
      <c r="I394" s="47" t="n">
        <f aca="false">IF(F394&lt;365,Assumptions!$G$22,IF(F394&lt;=730,Assumptions!$H$22,Assumptions!$I$22))</f>
        <v>0</v>
      </c>
      <c r="J394" s="35" t="n">
        <f aca="false">H394*I394</f>
        <v>0</v>
      </c>
      <c r="K394" s="35" t="n">
        <f aca="false">H394-J394</f>
        <v>11185.7978446885</v>
      </c>
      <c r="L394" s="35" t="n">
        <f aca="false">K394-C394</f>
        <v>8185.79784468848</v>
      </c>
      <c r="M394" s="33" t="str">
        <f aca="false">IF(F394&gt;365,"LTCG","STCG")</f>
        <v>LTCG</v>
      </c>
      <c r="N394" s="47" t="n">
        <f aca="false">IF(M394="LTCG",Assumptions!$C$12,Assumptions!$C$11)</f>
        <v>0.125</v>
      </c>
      <c r="O394" s="33" t="str">
        <f aca="false">IF(M394="STCG",MAX(L394,0)*Assumptions!$C$11,"agg. below")</f>
        <v>agg. below</v>
      </c>
    </row>
    <row r="395" customFormat="false" ht="15" hidden="false" customHeight="false" outlineLevel="1" collapsed="false">
      <c r="A395" s="38" t="str">
        <f aca="false">TEXT(SIP_Fund2_HDFCMidcap!B14,"mmm-yyyy")</f>
        <v>Oct-2025</v>
      </c>
      <c r="B395" s="39" t="n">
        <f aca="false">SIP_Fund2_HDFCMidcap!B14</f>
        <v>45931</v>
      </c>
      <c r="C395" s="40" t="n">
        <f aca="false">SIP_Fund2_HDFCMidcap!C14</f>
        <v>3000</v>
      </c>
      <c r="D395" s="41" t="n">
        <f aca="false">SIP_Fund2_HDFCMidcap!H14</f>
        <v>184.714252227583</v>
      </c>
      <c r="E395" s="42" t="n">
        <f aca="false">SIP_Fund2_HDFCMidcap!I14</f>
        <v>16.2413022483168</v>
      </c>
      <c r="F395" s="38" t="n">
        <f aca="false">Assumptions!$C$5-B395</f>
        <v>3758</v>
      </c>
      <c r="G395" s="41" t="n">
        <f aca="false">Assumptions!$D$22*(1+Assumptions!$F$22)^((Assumptions!$C$5-Assumptions!$C$4)/365)</f>
        <v>681.584366566089</v>
      </c>
      <c r="H395" s="40" t="n">
        <f aca="false">E395*G395</f>
        <v>11069.8177051274</v>
      </c>
      <c r="I395" s="48" t="n">
        <f aca="false">IF(F395&lt;365,Assumptions!$G$22,IF(F395&lt;=730,Assumptions!$H$22,Assumptions!$I$22))</f>
        <v>0</v>
      </c>
      <c r="J395" s="40" t="n">
        <f aca="false">H395*I395</f>
        <v>0</v>
      </c>
      <c r="K395" s="40" t="n">
        <f aca="false">H395-J395</f>
        <v>11069.8177051274</v>
      </c>
      <c r="L395" s="40" t="n">
        <f aca="false">K395-C395</f>
        <v>8069.81770512743</v>
      </c>
      <c r="M395" s="38" t="str">
        <f aca="false">IF(F395&gt;365,"LTCG","STCG")</f>
        <v>LTCG</v>
      </c>
      <c r="N395" s="48" t="n">
        <f aca="false">IF(M395="LTCG",Assumptions!$C$12,Assumptions!$C$11)</f>
        <v>0.125</v>
      </c>
      <c r="O395" s="38" t="str">
        <f aca="false">IF(M395="STCG",MAX(L395,0)*Assumptions!$C$11,"agg. below")</f>
        <v>agg. below</v>
      </c>
    </row>
    <row r="396" customFormat="false" ht="15" hidden="false" customHeight="false" outlineLevel="1" collapsed="false">
      <c r="A396" s="33" t="str">
        <f aca="false">TEXT(SIP_Fund2_HDFCMidcap!B15,"mmm-yyyy")</f>
        <v>Nov-2025</v>
      </c>
      <c r="B396" s="34" t="n">
        <f aca="false">SIP_Fund2_HDFCMidcap!B15</f>
        <v>45962</v>
      </c>
      <c r="C396" s="35" t="n">
        <f aca="false">SIP_Fund2_HDFCMidcap!C15</f>
        <v>3000</v>
      </c>
      <c r="D396" s="36" t="n">
        <f aca="false">SIP_Fund2_HDFCMidcap!H15</f>
        <v>186.714388464005</v>
      </c>
      <c r="E396" s="37" t="n">
        <f aca="false">SIP_Fund2_HDFCMidcap!I15</f>
        <v>16.067320920896</v>
      </c>
      <c r="F396" s="33" t="n">
        <f aca="false">Assumptions!$C$5-B396</f>
        <v>3727</v>
      </c>
      <c r="G396" s="36" t="n">
        <f aca="false">Assumptions!$D$22*(1+Assumptions!$F$22)^((Assumptions!$C$5-Assumptions!$C$4)/365)</f>
        <v>681.584366566089</v>
      </c>
      <c r="H396" s="35" t="n">
        <f aca="false">E396*G396</f>
        <v>10951.234752283</v>
      </c>
      <c r="I396" s="47" t="n">
        <f aca="false">IF(F396&lt;365,Assumptions!$G$22,IF(F396&lt;=730,Assumptions!$H$22,Assumptions!$I$22))</f>
        <v>0</v>
      </c>
      <c r="J396" s="35" t="n">
        <f aca="false">H396*I396</f>
        <v>0</v>
      </c>
      <c r="K396" s="35" t="n">
        <f aca="false">H396-J396</f>
        <v>10951.234752283</v>
      </c>
      <c r="L396" s="35" t="n">
        <f aca="false">K396-C396</f>
        <v>7951.23475228296</v>
      </c>
      <c r="M396" s="33" t="str">
        <f aca="false">IF(F396&gt;365,"LTCG","STCG")</f>
        <v>LTCG</v>
      </c>
      <c r="N396" s="47" t="n">
        <f aca="false">IF(M396="LTCG",Assumptions!$C$12,Assumptions!$C$11)</f>
        <v>0.125</v>
      </c>
      <c r="O396" s="33" t="str">
        <f aca="false">IF(M396="STCG",MAX(L396,0)*Assumptions!$C$11,"agg. below")</f>
        <v>agg. below</v>
      </c>
    </row>
    <row r="397" customFormat="false" ht="15" hidden="false" customHeight="false" outlineLevel="1" collapsed="false">
      <c r="A397" s="38" t="str">
        <f aca="false">TEXT(SIP_Fund2_HDFCMidcap!B16,"mmm-yyyy")</f>
        <v>Dec-2025</v>
      </c>
      <c r="B397" s="39" t="n">
        <f aca="false">SIP_Fund2_HDFCMidcap!B16</f>
        <v>45992</v>
      </c>
      <c r="C397" s="40" t="n">
        <f aca="false">SIP_Fund2_HDFCMidcap!C16</f>
        <v>3000</v>
      </c>
      <c r="D397" s="41" t="n">
        <f aca="false">SIP_Fund2_HDFCMidcap!H16</f>
        <v>188.670623102095</v>
      </c>
      <c r="E397" s="42" t="n">
        <f aca="false">SIP_Fund2_HDFCMidcap!I16</f>
        <v>15.9007266243915</v>
      </c>
      <c r="F397" s="38" t="n">
        <f aca="false">Assumptions!$C$5-B397</f>
        <v>3697</v>
      </c>
      <c r="G397" s="41" t="n">
        <f aca="false">Assumptions!$D$22*(1+Assumptions!$F$22)^((Assumptions!$C$5-Assumptions!$C$4)/365)</f>
        <v>681.584366566089</v>
      </c>
      <c r="H397" s="40" t="n">
        <f aca="false">E397*G397</f>
        <v>10837.6866842264</v>
      </c>
      <c r="I397" s="48" t="n">
        <f aca="false">IF(F397&lt;365,Assumptions!$G$22,IF(F397&lt;=730,Assumptions!$H$22,Assumptions!$I$22))</f>
        <v>0</v>
      </c>
      <c r="J397" s="40" t="n">
        <f aca="false">H397*I397</f>
        <v>0</v>
      </c>
      <c r="K397" s="40" t="n">
        <f aca="false">H397-J397</f>
        <v>10837.6866842264</v>
      </c>
      <c r="L397" s="40" t="n">
        <f aca="false">K397-C397</f>
        <v>7837.68668422639</v>
      </c>
      <c r="M397" s="38" t="str">
        <f aca="false">IF(F397&gt;365,"LTCG","STCG")</f>
        <v>LTCG</v>
      </c>
      <c r="N397" s="48" t="n">
        <f aca="false">IF(M397="LTCG",Assumptions!$C$12,Assumptions!$C$11)</f>
        <v>0.125</v>
      </c>
      <c r="O397" s="38" t="str">
        <f aca="false">IF(M397="STCG",MAX(L397,0)*Assumptions!$C$11,"agg. below")</f>
        <v>agg. below</v>
      </c>
    </row>
    <row r="398" customFormat="false" ht="15" hidden="false" customHeight="false" outlineLevel="1" collapsed="false">
      <c r="A398" s="33" t="str">
        <f aca="false">TEXT(SIP_Fund2_HDFCMidcap!B17,"mmm-yyyy")</f>
        <v>Jan-2026</v>
      </c>
      <c r="B398" s="34" t="n">
        <f aca="false">SIP_Fund2_HDFCMidcap!B17</f>
        <v>46023</v>
      </c>
      <c r="C398" s="35" t="n">
        <f aca="false">SIP_Fund2_HDFCMidcap!C17</f>
        <v>4000</v>
      </c>
      <c r="D398" s="36" t="n">
        <f aca="false">SIP_Fund2_HDFCMidcap!H17</f>
        <v>190.7136</v>
      </c>
      <c r="E398" s="37" t="n">
        <f aca="false">SIP_Fund2_HDFCMidcap!I17</f>
        <v>20.9738581831605</v>
      </c>
      <c r="F398" s="33" t="n">
        <f aca="false">Assumptions!$C$5-B398</f>
        <v>3666</v>
      </c>
      <c r="G398" s="36" t="n">
        <f aca="false">Assumptions!$D$22*(1+Assumptions!$F$22)^((Assumptions!$C$5-Assumptions!$C$4)/365)</f>
        <v>681.584366566089</v>
      </c>
      <c r="H398" s="35" t="n">
        <f aca="false">E398*G398</f>
        <v>14295.4538442164</v>
      </c>
      <c r="I398" s="47" t="n">
        <f aca="false">IF(F398&lt;365,Assumptions!$G$22,IF(F398&lt;=730,Assumptions!$H$22,Assumptions!$I$22))</f>
        <v>0</v>
      </c>
      <c r="J398" s="35" t="n">
        <f aca="false">H398*I398</f>
        <v>0</v>
      </c>
      <c r="K398" s="35" t="n">
        <f aca="false">H398-J398</f>
        <v>14295.4538442164</v>
      </c>
      <c r="L398" s="35" t="n">
        <f aca="false">K398-C398</f>
        <v>10295.4538442164</v>
      </c>
      <c r="M398" s="33" t="str">
        <f aca="false">IF(F398&gt;365,"LTCG","STCG")</f>
        <v>LTCG</v>
      </c>
      <c r="N398" s="47" t="n">
        <f aca="false">IF(M398="LTCG",Assumptions!$C$12,Assumptions!$C$11)</f>
        <v>0.125</v>
      </c>
      <c r="O398" s="33" t="str">
        <f aca="false">IF(M398="STCG",MAX(L398,0)*Assumptions!$C$11,"agg. below")</f>
        <v>agg. below</v>
      </c>
    </row>
    <row r="399" customFormat="false" ht="15" hidden="false" customHeight="false" outlineLevel="1" collapsed="false">
      <c r="A399" s="38" t="str">
        <f aca="false">TEXT(SIP_Fund2_HDFCMidcap!B18,"mmm-yyyy")</f>
        <v>Feb-2026</v>
      </c>
      <c r="B399" s="39" t="n">
        <f aca="false">SIP_Fund2_HDFCMidcap!B18</f>
        <v>46054</v>
      </c>
      <c r="C399" s="40" t="n">
        <f aca="false">SIP_Fund2_HDFCMidcap!C18</f>
        <v>4000</v>
      </c>
      <c r="D399" s="41" t="n">
        <f aca="false">SIP_Fund2_HDFCMidcap!H18</f>
        <v>192.778698808231</v>
      </c>
      <c r="E399" s="42" t="n">
        <f aca="false">SIP_Fund2_HDFCMidcap!I18</f>
        <v>20.7491804059693</v>
      </c>
      <c r="F399" s="38" t="n">
        <f aca="false">Assumptions!$C$5-B399</f>
        <v>3635</v>
      </c>
      <c r="G399" s="41" t="n">
        <f aca="false">Assumptions!$D$22*(1+Assumptions!$F$22)^((Assumptions!$C$5-Assumptions!$C$4)/365)</f>
        <v>681.584366566089</v>
      </c>
      <c r="H399" s="40" t="n">
        <f aca="false">E399*G399</f>
        <v>14142.3169837681</v>
      </c>
      <c r="I399" s="48" t="n">
        <f aca="false">IF(F399&lt;365,Assumptions!$G$22,IF(F399&lt;=730,Assumptions!$H$22,Assumptions!$I$22))</f>
        <v>0</v>
      </c>
      <c r="J399" s="40" t="n">
        <f aca="false">H399*I399</f>
        <v>0</v>
      </c>
      <c r="K399" s="40" t="n">
        <f aca="false">H399-J399</f>
        <v>14142.3169837681</v>
      </c>
      <c r="L399" s="40" t="n">
        <f aca="false">K399-C399</f>
        <v>10142.3169837681</v>
      </c>
      <c r="M399" s="38" t="str">
        <f aca="false">IF(F399&gt;365,"LTCG","STCG")</f>
        <v>LTCG</v>
      </c>
      <c r="N399" s="48" t="n">
        <f aca="false">IF(M399="LTCG",Assumptions!$C$12,Assumptions!$C$11)</f>
        <v>0.125</v>
      </c>
      <c r="O399" s="38" t="str">
        <f aca="false">IF(M399="STCG",MAX(L399,0)*Assumptions!$C$11,"agg. below")</f>
        <v>agg. below</v>
      </c>
    </row>
    <row r="400" customFormat="false" ht="15" hidden="false" customHeight="false" outlineLevel="1" collapsed="false">
      <c r="A400" s="33" t="str">
        <f aca="false">TEXT(SIP_Fund2_HDFCMidcap!B19,"mmm-yyyy")</f>
        <v>Mar-2026</v>
      </c>
      <c r="B400" s="34" t="n">
        <f aca="false">SIP_Fund2_HDFCMidcap!B19</f>
        <v>46082</v>
      </c>
      <c r="C400" s="35" t="n">
        <f aca="false">SIP_Fund2_HDFCMidcap!C19</f>
        <v>4000</v>
      </c>
      <c r="D400" s="36" t="n">
        <f aca="false">SIP_Fund2_HDFCMidcap!H19</f>
        <v>194.663162796309</v>
      </c>
      <c r="E400" s="37" t="n">
        <f aca="false">SIP_Fund2_HDFCMidcap!I19</f>
        <v>20.5483150614659</v>
      </c>
      <c r="F400" s="33" t="n">
        <f aca="false">Assumptions!$C$5-B400</f>
        <v>3607</v>
      </c>
      <c r="G400" s="36" t="n">
        <f aca="false">Assumptions!$D$22*(1+Assumptions!$F$22)^((Assumptions!$C$5-Assumptions!$C$4)/365)</f>
        <v>681.584366566089</v>
      </c>
      <c r="H400" s="35" t="n">
        <f aca="false">E400*G400</f>
        <v>14005.4103051697</v>
      </c>
      <c r="I400" s="47" t="n">
        <f aca="false">IF(F400&lt;365,Assumptions!$G$22,IF(F400&lt;=730,Assumptions!$H$22,Assumptions!$I$22))</f>
        <v>0</v>
      </c>
      <c r="J400" s="35" t="n">
        <f aca="false">H400*I400</f>
        <v>0</v>
      </c>
      <c r="K400" s="35" t="n">
        <f aca="false">H400-J400</f>
        <v>14005.4103051697</v>
      </c>
      <c r="L400" s="35" t="n">
        <f aca="false">K400-C400</f>
        <v>10005.4103051697</v>
      </c>
      <c r="M400" s="33" t="str">
        <f aca="false">IF(F400&gt;365,"LTCG","STCG")</f>
        <v>LTCG</v>
      </c>
      <c r="N400" s="47" t="n">
        <f aca="false">IF(M400="LTCG",Assumptions!$C$12,Assumptions!$C$11)</f>
        <v>0.125</v>
      </c>
      <c r="O400" s="33" t="str">
        <f aca="false">IF(M400="STCG",MAX(L400,0)*Assumptions!$C$11,"agg. below")</f>
        <v>agg. below</v>
      </c>
    </row>
    <row r="401" customFormat="false" ht="15" hidden="false" customHeight="false" outlineLevel="1" collapsed="false">
      <c r="A401" s="38" t="str">
        <f aca="false">TEXT(SIP_Fund2_HDFCMidcap!B20,"mmm-yyyy")</f>
        <v>Apr-2026</v>
      </c>
      <c r="B401" s="39" t="n">
        <f aca="false">SIP_Fund2_HDFCMidcap!B20</f>
        <v>46113</v>
      </c>
      <c r="C401" s="40" t="n">
        <f aca="false">SIP_Fund2_HDFCMidcap!C20</f>
        <v>4000</v>
      </c>
      <c r="D401" s="41" t="n">
        <f aca="false">SIP_Fund2_HDFCMidcap!H20</f>
        <v>196.771028546299</v>
      </c>
      <c r="E401" s="42" t="n">
        <f aca="false">SIP_Fund2_HDFCMidcap!I20</f>
        <v>20.3281958200408</v>
      </c>
      <c r="F401" s="38" t="n">
        <f aca="false">Assumptions!$C$5-B401</f>
        <v>3576</v>
      </c>
      <c r="G401" s="41" t="n">
        <f aca="false">Assumptions!$D$22*(1+Assumptions!$F$22)^((Assumptions!$C$5-Assumptions!$C$4)/365)</f>
        <v>681.584366566089</v>
      </c>
      <c r="H401" s="40" t="n">
        <f aca="false">E401*G401</f>
        <v>13855.3804714339</v>
      </c>
      <c r="I401" s="48" t="n">
        <f aca="false">IF(F401&lt;365,Assumptions!$G$22,IF(F401&lt;=730,Assumptions!$H$22,Assumptions!$I$22))</f>
        <v>0</v>
      </c>
      <c r="J401" s="40" t="n">
        <f aca="false">H401*I401</f>
        <v>0</v>
      </c>
      <c r="K401" s="40" t="n">
        <f aca="false">H401-J401</f>
        <v>13855.3804714339</v>
      </c>
      <c r="L401" s="40" t="n">
        <f aca="false">K401-C401</f>
        <v>9855.38047143394</v>
      </c>
      <c r="M401" s="38" t="str">
        <f aca="false">IF(F401&gt;365,"LTCG","STCG")</f>
        <v>LTCG</v>
      </c>
      <c r="N401" s="48" t="n">
        <f aca="false">IF(M401="LTCG",Assumptions!$C$12,Assumptions!$C$11)</f>
        <v>0.125</v>
      </c>
      <c r="O401" s="38" t="str">
        <f aca="false">IF(M401="STCG",MAX(L401,0)*Assumptions!$C$11,"agg. below")</f>
        <v>agg. below</v>
      </c>
    </row>
    <row r="402" customFormat="false" ht="15" hidden="false" customHeight="false" outlineLevel="1" collapsed="false">
      <c r="A402" s="33" t="str">
        <f aca="false">TEXT(SIP_Fund2_HDFCMidcap!B21,"mmm-yyyy")</f>
        <v>May-2026</v>
      </c>
      <c r="B402" s="34" t="n">
        <f aca="false">SIP_Fund2_HDFCMidcap!B21</f>
        <v>46143</v>
      </c>
      <c r="C402" s="35" t="n">
        <f aca="false">SIP_Fund2_HDFCMidcap!C21</f>
        <v>4000</v>
      </c>
      <c r="D402" s="36" t="n">
        <f aca="false">SIP_Fund2_HDFCMidcap!H21</f>
        <v>198.832628110111</v>
      </c>
      <c r="E402" s="37" t="n">
        <f aca="false">SIP_Fund2_HDFCMidcap!I21</f>
        <v>20.1174225680146</v>
      </c>
      <c r="F402" s="33" t="n">
        <f aca="false">Assumptions!$C$5-B402</f>
        <v>3546</v>
      </c>
      <c r="G402" s="36" t="n">
        <f aca="false">Assumptions!$D$22*(1+Assumptions!$F$22)^((Assumptions!$C$5-Assumptions!$C$4)/365)</f>
        <v>681.584366566089</v>
      </c>
      <c r="H402" s="35" t="n">
        <f aca="false">E402*G402</f>
        <v>13711.7207179626</v>
      </c>
      <c r="I402" s="47" t="n">
        <f aca="false">IF(F402&lt;365,Assumptions!$G$22,IF(F402&lt;=730,Assumptions!$H$22,Assumptions!$I$22))</f>
        <v>0</v>
      </c>
      <c r="J402" s="35" t="n">
        <f aca="false">H402*I402</f>
        <v>0</v>
      </c>
      <c r="K402" s="35" t="n">
        <f aca="false">H402-J402</f>
        <v>13711.7207179626</v>
      </c>
      <c r="L402" s="35" t="n">
        <f aca="false">K402-C402</f>
        <v>9711.72071796257</v>
      </c>
      <c r="M402" s="33" t="str">
        <f aca="false">IF(F402&gt;365,"LTCG","STCG")</f>
        <v>LTCG</v>
      </c>
      <c r="N402" s="47" t="n">
        <f aca="false">IF(M402="LTCG",Assumptions!$C$12,Assumptions!$C$11)</f>
        <v>0.125</v>
      </c>
      <c r="O402" s="33" t="str">
        <f aca="false">IF(M402="STCG",MAX(L402,0)*Assumptions!$C$11,"agg. below")</f>
        <v>agg. below</v>
      </c>
    </row>
    <row r="403" customFormat="false" ht="15" hidden="false" customHeight="false" outlineLevel="1" collapsed="false">
      <c r="A403" s="38" t="str">
        <f aca="false">TEXT(SIP_Fund2_HDFCMidcap!B22,"mmm-yyyy")</f>
        <v>Jun-2026</v>
      </c>
      <c r="B403" s="39" t="n">
        <f aca="false">SIP_Fund2_HDFCMidcap!B22</f>
        <v>46174</v>
      </c>
      <c r="C403" s="40" t="n">
        <f aca="false">SIP_Fund2_HDFCMidcap!C22</f>
        <v>4000</v>
      </c>
      <c r="D403" s="41" t="n">
        <f aca="false">SIP_Fund2_HDFCMidcap!H22</f>
        <v>200.985641966216</v>
      </c>
      <c r="E403" s="42" t="n">
        <f aca="false">SIP_Fund2_HDFCMidcap!I22</f>
        <v>19.9019191663073</v>
      </c>
      <c r="F403" s="38" t="n">
        <f aca="false">Assumptions!$C$5-B403</f>
        <v>3515</v>
      </c>
      <c r="G403" s="41" t="n">
        <f aca="false">Assumptions!$D$22*(1+Assumptions!$F$22)^((Assumptions!$C$5-Assumptions!$C$4)/365)</f>
        <v>681.584366566089</v>
      </c>
      <c r="H403" s="40" t="n">
        <f aca="false">E403*G403</f>
        <v>13564.836968417</v>
      </c>
      <c r="I403" s="48" t="n">
        <f aca="false">IF(F403&lt;365,Assumptions!$G$22,IF(F403&lt;=730,Assumptions!$H$22,Assumptions!$I$22))</f>
        <v>0</v>
      </c>
      <c r="J403" s="40" t="n">
        <f aca="false">H403*I403</f>
        <v>0</v>
      </c>
      <c r="K403" s="40" t="n">
        <f aca="false">H403-J403</f>
        <v>13564.836968417</v>
      </c>
      <c r="L403" s="40" t="n">
        <f aca="false">K403-C403</f>
        <v>9564.83696841703</v>
      </c>
      <c r="M403" s="38" t="str">
        <f aca="false">IF(F403&gt;365,"LTCG","STCG")</f>
        <v>LTCG</v>
      </c>
      <c r="N403" s="48" t="n">
        <f aca="false">IF(M403="LTCG",Assumptions!$C$12,Assumptions!$C$11)</f>
        <v>0.125</v>
      </c>
      <c r="O403" s="38" t="str">
        <f aca="false">IF(M403="STCG",MAX(L403,0)*Assumptions!$C$11,"agg. below")</f>
        <v>agg. below</v>
      </c>
    </row>
    <row r="404" customFormat="false" ht="15" hidden="false" customHeight="false" outlineLevel="1" collapsed="false">
      <c r="A404" s="33" t="str">
        <f aca="false">TEXT(SIP_Fund2_HDFCMidcap!B23,"mmm-yyyy")</f>
        <v>Jul-2026</v>
      </c>
      <c r="B404" s="34" t="n">
        <f aca="false">SIP_Fund2_HDFCMidcap!B23</f>
        <v>46204</v>
      </c>
      <c r="C404" s="35" t="n">
        <f aca="false">SIP_Fund2_HDFCMidcap!C23</f>
        <v>4000</v>
      </c>
      <c r="D404" s="36" t="n">
        <f aca="false">SIP_Fund2_HDFCMidcap!H23</f>
        <v>203.091398666637</v>
      </c>
      <c r="E404" s="37" t="n">
        <f aca="false">SIP_Fund2_HDFCMidcap!I23</f>
        <v>19.6955657711816</v>
      </c>
      <c r="F404" s="33" t="n">
        <f aca="false">Assumptions!$C$5-B404</f>
        <v>3485</v>
      </c>
      <c r="G404" s="36" t="n">
        <f aca="false">Assumptions!$D$22*(1+Assumptions!$F$22)^((Assumptions!$C$5-Assumptions!$C$4)/365)</f>
        <v>681.584366566089</v>
      </c>
      <c r="H404" s="35" t="n">
        <f aca="false">E404*G404</f>
        <v>13424.1897203115</v>
      </c>
      <c r="I404" s="47" t="n">
        <f aca="false">IF(F404&lt;365,Assumptions!$G$22,IF(F404&lt;=730,Assumptions!$H$22,Assumptions!$I$22))</f>
        <v>0</v>
      </c>
      <c r="J404" s="35" t="n">
        <f aca="false">H404*I404</f>
        <v>0</v>
      </c>
      <c r="K404" s="35" t="n">
        <f aca="false">H404-J404</f>
        <v>13424.1897203115</v>
      </c>
      <c r="L404" s="35" t="n">
        <f aca="false">K404-C404</f>
        <v>9424.18972031152</v>
      </c>
      <c r="M404" s="33" t="str">
        <f aca="false">IF(F404&gt;365,"LTCG","STCG")</f>
        <v>LTCG</v>
      </c>
      <c r="N404" s="47" t="n">
        <f aca="false">IF(M404="LTCG",Assumptions!$C$12,Assumptions!$C$11)</f>
        <v>0.125</v>
      </c>
      <c r="O404" s="33" t="str">
        <f aca="false">IF(M404="STCG",MAX(L404,0)*Assumptions!$C$11,"agg. below")</f>
        <v>agg. below</v>
      </c>
    </row>
    <row r="405" customFormat="false" ht="15" hidden="false" customHeight="false" outlineLevel="1" collapsed="false">
      <c r="A405" s="38" t="str">
        <f aca="false">TEXT(SIP_Fund2_HDFCMidcap!B24,"mmm-yyyy")</f>
        <v>Aug-2026</v>
      </c>
      <c r="B405" s="39" t="n">
        <f aca="false">SIP_Fund2_HDFCMidcap!B24</f>
        <v>46235</v>
      </c>
      <c r="C405" s="40" t="n">
        <f aca="false">SIP_Fund2_HDFCMidcap!C24</f>
        <v>4000</v>
      </c>
      <c r="D405" s="41" t="n">
        <f aca="false">SIP_Fund2_HDFCMidcap!H24</f>
        <v>205.290527650351</v>
      </c>
      <c r="E405" s="42" t="n">
        <f aca="false">SIP_Fund2_HDFCMidcap!I24</f>
        <v>19.4845814163075</v>
      </c>
      <c r="F405" s="38" t="n">
        <f aca="false">Assumptions!$C$5-B405</f>
        <v>3454</v>
      </c>
      <c r="G405" s="41" t="n">
        <f aca="false">Assumptions!$D$22*(1+Assumptions!$F$22)^((Assumptions!$C$5-Assumptions!$C$4)/365)</f>
        <v>681.584366566089</v>
      </c>
      <c r="H405" s="40" t="n">
        <f aca="false">E405*G405</f>
        <v>13280.3860824394</v>
      </c>
      <c r="I405" s="48" t="n">
        <f aca="false">IF(F405&lt;365,Assumptions!$G$22,IF(F405&lt;=730,Assumptions!$H$22,Assumptions!$I$22))</f>
        <v>0</v>
      </c>
      <c r="J405" s="40" t="n">
        <f aca="false">H405*I405</f>
        <v>0</v>
      </c>
      <c r="K405" s="40" t="n">
        <f aca="false">H405-J405</f>
        <v>13280.3860824394</v>
      </c>
      <c r="L405" s="40" t="n">
        <f aca="false">K405-C405</f>
        <v>9280.38608243937</v>
      </c>
      <c r="M405" s="38" t="str">
        <f aca="false">IF(F405&gt;365,"LTCG","STCG")</f>
        <v>LTCG</v>
      </c>
      <c r="N405" s="48" t="n">
        <f aca="false">IF(M405="LTCG",Assumptions!$C$12,Assumptions!$C$11)</f>
        <v>0.125</v>
      </c>
      <c r="O405" s="38" t="str">
        <f aca="false">IF(M405="STCG",MAX(L405,0)*Assumptions!$C$11,"agg. below")</f>
        <v>agg. below</v>
      </c>
    </row>
    <row r="406" customFormat="false" ht="15" hidden="false" customHeight="false" outlineLevel="1" collapsed="false">
      <c r="A406" s="33" t="str">
        <f aca="false">TEXT(SIP_Fund2_HDFCMidcap!B25,"mmm-yyyy")</f>
        <v>Sep-2026</v>
      </c>
      <c r="B406" s="34" t="n">
        <f aca="false">SIP_Fund2_HDFCMidcap!B25</f>
        <v>46266</v>
      </c>
      <c r="C406" s="35" t="n">
        <f aca="false">SIP_Fund2_HDFCMidcap!C25</f>
        <v>4000</v>
      </c>
      <c r="D406" s="36" t="n">
        <f aca="false">SIP_Fund2_HDFCMidcap!H25</f>
        <v>207.51346940171</v>
      </c>
      <c r="E406" s="37" t="n">
        <f aca="false">SIP_Fund2_HDFCMidcap!I25</f>
        <v>19.2758571842713</v>
      </c>
      <c r="F406" s="33" t="n">
        <f aca="false">Assumptions!$C$5-B406</f>
        <v>3423</v>
      </c>
      <c r="G406" s="36" t="n">
        <f aca="false">Assumptions!$D$22*(1+Assumptions!$F$22)^((Assumptions!$C$5-Assumptions!$C$4)/365)</f>
        <v>681.584366566089</v>
      </c>
      <c r="H406" s="35" t="n">
        <f aca="false">E406*G406</f>
        <v>13138.1229089599</v>
      </c>
      <c r="I406" s="47" t="n">
        <f aca="false">IF(F406&lt;365,Assumptions!$G$22,IF(F406&lt;=730,Assumptions!$H$22,Assumptions!$I$22))</f>
        <v>0</v>
      </c>
      <c r="J406" s="35" t="n">
        <f aca="false">H406*I406</f>
        <v>0</v>
      </c>
      <c r="K406" s="35" t="n">
        <f aca="false">H406-J406</f>
        <v>13138.1229089599</v>
      </c>
      <c r="L406" s="35" t="n">
        <f aca="false">K406-C406</f>
        <v>9138.12290895993</v>
      </c>
      <c r="M406" s="33" t="str">
        <f aca="false">IF(F406&gt;365,"LTCG","STCG")</f>
        <v>LTCG</v>
      </c>
      <c r="N406" s="47" t="n">
        <f aca="false">IF(M406="LTCG",Assumptions!$C$12,Assumptions!$C$11)</f>
        <v>0.125</v>
      </c>
      <c r="O406" s="33" t="str">
        <f aca="false">IF(M406="STCG",MAX(L406,0)*Assumptions!$C$11,"agg. below")</f>
        <v>agg. below</v>
      </c>
    </row>
    <row r="407" customFormat="false" ht="15" hidden="false" customHeight="false" outlineLevel="1" collapsed="false">
      <c r="A407" s="38" t="str">
        <f aca="false">TEXT(SIP_Fund2_HDFCMidcap!B26,"mmm-yyyy")</f>
        <v>Oct-2026</v>
      </c>
      <c r="B407" s="39" t="n">
        <f aca="false">SIP_Fund2_HDFCMidcap!B26</f>
        <v>46296</v>
      </c>
      <c r="C407" s="40" t="n">
        <f aca="false">SIP_Fund2_HDFCMidcap!C26</f>
        <v>4000</v>
      </c>
      <c r="D407" s="41" t="n">
        <f aca="false">SIP_Fund2_HDFCMidcap!H26</f>
        <v>209.687619128752</v>
      </c>
      <c r="E407" s="42" t="n">
        <f aca="false">SIP_Fund2_HDFCMidcap!I26</f>
        <v>19.0759951236984</v>
      </c>
      <c r="F407" s="38" t="n">
        <f aca="false">Assumptions!$C$5-B407</f>
        <v>3393</v>
      </c>
      <c r="G407" s="41" t="n">
        <f aca="false">Assumptions!$D$22*(1+Assumptions!$F$22)^((Assumptions!$C$5-Assumptions!$C$4)/365)</f>
        <v>681.584366566089</v>
      </c>
      <c r="H407" s="40" t="n">
        <f aca="false">E407*G407</f>
        <v>13001.9000530038</v>
      </c>
      <c r="I407" s="48" t="n">
        <f aca="false">IF(F407&lt;365,Assumptions!$G$22,IF(F407&lt;=730,Assumptions!$H$22,Assumptions!$I$22))</f>
        <v>0</v>
      </c>
      <c r="J407" s="40" t="n">
        <f aca="false">H407*I407</f>
        <v>0</v>
      </c>
      <c r="K407" s="40" t="n">
        <f aca="false">H407-J407</f>
        <v>13001.9000530038</v>
      </c>
      <c r="L407" s="40" t="n">
        <f aca="false">K407-C407</f>
        <v>9001.90005300379</v>
      </c>
      <c r="M407" s="38" t="str">
        <f aca="false">IF(F407&gt;365,"LTCG","STCG")</f>
        <v>LTCG</v>
      </c>
      <c r="N407" s="48" t="n">
        <f aca="false">IF(M407="LTCG",Assumptions!$C$12,Assumptions!$C$11)</f>
        <v>0.125</v>
      </c>
      <c r="O407" s="38" t="str">
        <f aca="false">IF(M407="STCG",MAX(L407,0)*Assumptions!$C$11,"agg. below")</f>
        <v>agg. below</v>
      </c>
    </row>
    <row r="408" customFormat="false" ht="15" hidden="false" customHeight="false" outlineLevel="1" collapsed="false">
      <c r="A408" s="33" t="str">
        <f aca="false">TEXT(SIP_Fund2_HDFCMidcap!B27,"mmm-yyyy")</f>
        <v>Nov-2026</v>
      </c>
      <c r="B408" s="34" t="n">
        <f aca="false">SIP_Fund2_HDFCMidcap!B27</f>
        <v>46327</v>
      </c>
      <c r="C408" s="35" t="n">
        <f aca="false">SIP_Fund2_HDFCMidcap!C27</f>
        <v>4000</v>
      </c>
      <c r="D408" s="36" t="n">
        <f aca="false">SIP_Fund2_HDFCMidcap!H27</f>
        <v>211.958173784338</v>
      </c>
      <c r="E408" s="37" t="n">
        <f aca="false">SIP_Fund2_HDFCMidcap!I27</f>
        <v>18.8716477811792</v>
      </c>
      <c r="F408" s="33" t="n">
        <f aca="false">Assumptions!$C$5-B408</f>
        <v>3362</v>
      </c>
      <c r="G408" s="36" t="n">
        <f aca="false">Assumptions!$D$22*(1+Assumptions!$F$22)^((Assumptions!$C$5-Assumptions!$C$4)/365)</f>
        <v>681.584366566089</v>
      </c>
      <c r="H408" s="35" t="n">
        <f aca="false">E408*G408</f>
        <v>12862.6200989934</v>
      </c>
      <c r="I408" s="47" t="n">
        <f aca="false">IF(F408&lt;365,Assumptions!$G$22,IF(F408&lt;=730,Assumptions!$H$22,Assumptions!$I$22))</f>
        <v>0</v>
      </c>
      <c r="J408" s="35" t="n">
        <f aca="false">H408*I408</f>
        <v>0</v>
      </c>
      <c r="K408" s="35" t="n">
        <f aca="false">H408-J408</f>
        <v>12862.6200989934</v>
      </c>
      <c r="L408" s="35" t="n">
        <f aca="false">K408-C408</f>
        <v>8862.62009899337</v>
      </c>
      <c r="M408" s="33" t="str">
        <f aca="false">IF(F408&gt;365,"LTCG","STCG")</f>
        <v>LTCG</v>
      </c>
      <c r="N408" s="47" t="n">
        <f aca="false">IF(M408="LTCG",Assumptions!$C$12,Assumptions!$C$11)</f>
        <v>0.125</v>
      </c>
      <c r="O408" s="33" t="str">
        <f aca="false">IF(M408="STCG",MAX(L408,0)*Assumptions!$C$11,"agg. below")</f>
        <v>agg. below</v>
      </c>
    </row>
    <row r="409" customFormat="false" ht="15" hidden="false" customHeight="false" outlineLevel="1" collapsed="false">
      <c r="A409" s="38" t="str">
        <f aca="false">TEXT(SIP_Fund2_HDFCMidcap!B28,"mmm-yyyy")</f>
        <v>Dec-2026</v>
      </c>
      <c r="B409" s="39" t="n">
        <f aca="false">SIP_Fund2_HDFCMidcap!B28</f>
        <v>46357</v>
      </c>
      <c r="C409" s="40" t="n">
        <f aca="false">SIP_Fund2_HDFCMidcap!C28</f>
        <v>4000</v>
      </c>
      <c r="D409" s="41" t="n">
        <f aca="false">SIP_Fund2_HDFCMidcap!H28</f>
        <v>214.178891345498</v>
      </c>
      <c r="E409" s="42" t="n">
        <f aca="false">SIP_Fund2_HDFCMidcap!I28</f>
        <v>18.6759767728347</v>
      </c>
      <c r="F409" s="38" t="n">
        <f aca="false">Assumptions!$C$5-B409</f>
        <v>3332</v>
      </c>
      <c r="G409" s="41" t="n">
        <f aca="false">Assumptions!$D$22*(1+Assumptions!$F$22)^((Assumptions!$C$5-Assumptions!$C$4)/365)</f>
        <v>681.584366566089</v>
      </c>
      <c r="H409" s="40" t="n">
        <f aca="false">E409*G409</f>
        <v>12729.2537987155</v>
      </c>
      <c r="I409" s="48" t="n">
        <f aca="false">IF(F409&lt;365,Assumptions!$G$22,IF(F409&lt;=730,Assumptions!$H$22,Assumptions!$I$22))</f>
        <v>0</v>
      </c>
      <c r="J409" s="40" t="n">
        <f aca="false">H409*I409</f>
        <v>0</v>
      </c>
      <c r="K409" s="40" t="n">
        <f aca="false">H409-J409</f>
        <v>12729.2537987155</v>
      </c>
      <c r="L409" s="40" t="n">
        <f aca="false">K409-C409</f>
        <v>8729.25379871552</v>
      </c>
      <c r="M409" s="38" t="str">
        <f aca="false">IF(F409&gt;365,"LTCG","STCG")</f>
        <v>LTCG</v>
      </c>
      <c r="N409" s="48" t="n">
        <f aca="false">IF(M409="LTCG",Assumptions!$C$12,Assumptions!$C$11)</f>
        <v>0.125</v>
      </c>
      <c r="O409" s="38" t="str">
        <f aca="false">IF(M409="STCG",MAX(L409,0)*Assumptions!$C$11,"agg. below")</f>
        <v>agg. below</v>
      </c>
    </row>
    <row r="410" customFormat="false" ht="15" hidden="false" customHeight="false" outlineLevel="1" collapsed="false">
      <c r="A410" s="33" t="str">
        <f aca="false">TEXT(SIP_Fund2_HDFCMidcap!B29,"mmm-yyyy")</f>
        <v>Jan-2027</v>
      </c>
      <c r="B410" s="34" t="n">
        <f aca="false">SIP_Fund2_HDFCMidcap!B29</f>
        <v>46388</v>
      </c>
      <c r="C410" s="35" t="n">
        <f aca="false">SIP_Fund2_HDFCMidcap!C29</f>
        <v>5000</v>
      </c>
      <c r="D410" s="36" t="n">
        <f aca="false">SIP_Fund2_HDFCMidcap!H29</f>
        <v>216.49807872</v>
      </c>
      <c r="E410" s="37" t="n">
        <f aca="false">SIP_Fund2_HDFCMidcap!I29</f>
        <v>23.0948931720848</v>
      </c>
      <c r="F410" s="33" t="n">
        <f aca="false">Assumptions!$C$5-B410</f>
        <v>3301</v>
      </c>
      <c r="G410" s="36" t="n">
        <f aca="false">Assumptions!$D$22*(1+Assumptions!$F$22)^((Assumptions!$C$5-Assumptions!$C$4)/365)</f>
        <v>681.584366566089</v>
      </c>
      <c r="H410" s="35" t="n">
        <f aca="false">E410*G410</f>
        <v>15741.1181336069</v>
      </c>
      <c r="I410" s="47" t="n">
        <f aca="false">IF(F410&lt;365,Assumptions!$G$22,IF(F410&lt;=730,Assumptions!$H$22,Assumptions!$I$22))</f>
        <v>0</v>
      </c>
      <c r="J410" s="35" t="n">
        <f aca="false">H410*I410</f>
        <v>0</v>
      </c>
      <c r="K410" s="35" t="n">
        <f aca="false">H410-J410</f>
        <v>15741.1181336069</v>
      </c>
      <c r="L410" s="35" t="n">
        <f aca="false">K410-C410</f>
        <v>10741.1181336069</v>
      </c>
      <c r="M410" s="33" t="str">
        <f aca="false">IF(F410&gt;365,"LTCG","STCG")</f>
        <v>LTCG</v>
      </c>
      <c r="N410" s="47" t="n">
        <f aca="false">IF(M410="LTCG",Assumptions!$C$12,Assumptions!$C$11)</f>
        <v>0.125</v>
      </c>
      <c r="O410" s="33" t="str">
        <f aca="false">IF(M410="STCG",MAX(L410,0)*Assumptions!$C$11,"agg. below")</f>
        <v>agg. below</v>
      </c>
    </row>
    <row r="411" customFormat="false" ht="15" hidden="false" customHeight="false" outlineLevel="1" collapsed="false">
      <c r="A411" s="38" t="str">
        <f aca="false">TEXT(SIP_Fund2_HDFCMidcap!B30,"mmm-yyyy")</f>
        <v>Feb-2027</v>
      </c>
      <c r="B411" s="39" t="n">
        <f aca="false">SIP_Fund2_HDFCMidcap!B30</f>
        <v>46419</v>
      </c>
      <c r="C411" s="40" t="n">
        <f aca="false">SIP_Fund2_HDFCMidcap!C30</f>
        <v>5000</v>
      </c>
      <c r="D411" s="41" t="n">
        <f aca="false">SIP_Fund2_HDFCMidcap!H30</f>
        <v>218.842378887104</v>
      </c>
      <c r="E411" s="42" t="n">
        <f aca="false">SIP_Fund2_HDFCMidcap!I30</f>
        <v>22.8474942807096</v>
      </c>
      <c r="F411" s="38" t="n">
        <f aca="false">Assumptions!$C$5-B411</f>
        <v>3270</v>
      </c>
      <c r="G411" s="41" t="n">
        <f aca="false">Assumptions!$D$22*(1+Assumptions!$F$22)^((Assumptions!$C$5-Assumptions!$C$4)/365)</f>
        <v>681.584366566089</v>
      </c>
      <c r="H411" s="40" t="n">
        <f aca="false">E411*G411</f>
        <v>15572.4949169398</v>
      </c>
      <c r="I411" s="48" t="n">
        <f aca="false">IF(F411&lt;365,Assumptions!$G$22,IF(F411&lt;=730,Assumptions!$H$22,Assumptions!$I$22))</f>
        <v>0</v>
      </c>
      <c r="J411" s="40" t="n">
        <f aca="false">H411*I411</f>
        <v>0</v>
      </c>
      <c r="K411" s="40" t="n">
        <f aca="false">H411-J411</f>
        <v>15572.4949169398</v>
      </c>
      <c r="L411" s="40" t="n">
        <f aca="false">K411-C411</f>
        <v>10572.4949169398</v>
      </c>
      <c r="M411" s="38" t="str">
        <f aca="false">IF(F411&gt;365,"LTCG","STCG")</f>
        <v>LTCG</v>
      </c>
      <c r="N411" s="48" t="n">
        <f aca="false">IF(M411="LTCG",Assumptions!$C$12,Assumptions!$C$11)</f>
        <v>0.125</v>
      </c>
      <c r="O411" s="38" t="str">
        <f aca="false">IF(M411="STCG",MAX(L411,0)*Assumptions!$C$11,"agg. below")</f>
        <v>agg. below</v>
      </c>
    </row>
    <row r="412" customFormat="false" ht="15" hidden="false" customHeight="false" outlineLevel="1" collapsed="false">
      <c r="A412" s="33" t="str">
        <f aca="false">TEXT(SIP_Fund2_HDFCMidcap!B31,"mmm-yyyy")</f>
        <v>Mar-2027</v>
      </c>
      <c r="B412" s="34" t="n">
        <f aca="false">SIP_Fund2_HDFCMidcap!B31</f>
        <v>46447</v>
      </c>
      <c r="C412" s="35" t="n">
        <f aca="false">SIP_Fund2_HDFCMidcap!C31</f>
        <v>5000</v>
      </c>
      <c r="D412" s="36" t="n">
        <f aca="false">SIP_Fund2_HDFCMidcap!H31</f>
        <v>220.98162240637</v>
      </c>
      <c r="E412" s="37" t="n">
        <f aca="false">SIP_Fund2_HDFCMidcap!I31</f>
        <v>22.6263159151096</v>
      </c>
      <c r="F412" s="33" t="n">
        <f aca="false">Assumptions!$C$5-B412</f>
        <v>3242</v>
      </c>
      <c r="G412" s="36" t="n">
        <f aca="false">Assumptions!$D$22*(1+Assumptions!$F$22)^((Assumptions!$C$5-Assumptions!$C$4)/365)</f>
        <v>681.584366566089</v>
      </c>
      <c r="H412" s="35" t="n">
        <f aca="false">E412*G412</f>
        <v>15421.7432007242</v>
      </c>
      <c r="I412" s="47" t="n">
        <f aca="false">IF(F412&lt;365,Assumptions!$G$22,IF(F412&lt;=730,Assumptions!$H$22,Assumptions!$I$22))</f>
        <v>0</v>
      </c>
      <c r="J412" s="35" t="n">
        <f aca="false">H412*I412</f>
        <v>0</v>
      </c>
      <c r="K412" s="35" t="n">
        <f aca="false">H412-J412</f>
        <v>15421.7432007242</v>
      </c>
      <c r="L412" s="35" t="n">
        <f aca="false">K412-C412</f>
        <v>10421.7432007242</v>
      </c>
      <c r="M412" s="33" t="str">
        <f aca="false">IF(F412&gt;365,"LTCG","STCG")</f>
        <v>LTCG</v>
      </c>
      <c r="N412" s="47" t="n">
        <f aca="false">IF(M412="LTCG",Assumptions!$C$12,Assumptions!$C$11)</f>
        <v>0.125</v>
      </c>
      <c r="O412" s="33" t="str">
        <f aca="false">IF(M412="STCG",MAX(L412,0)*Assumptions!$C$11,"agg. below")</f>
        <v>agg. below</v>
      </c>
    </row>
    <row r="413" customFormat="false" ht="15" hidden="false" customHeight="false" outlineLevel="1" collapsed="false">
      <c r="A413" s="38" t="str">
        <f aca="false">TEXT(SIP_Fund2_HDFCMidcap!B32,"mmm-yyyy")</f>
        <v>Apr-2027</v>
      </c>
      <c r="B413" s="39" t="n">
        <f aca="false">SIP_Fund2_HDFCMidcap!B32</f>
        <v>46478</v>
      </c>
      <c r="C413" s="40" t="n">
        <f aca="false">SIP_Fund2_HDFCMidcap!C32</f>
        <v>5000</v>
      </c>
      <c r="D413" s="41" t="n">
        <f aca="false">SIP_Fund2_HDFCMidcap!H32</f>
        <v>223.374471605758</v>
      </c>
      <c r="E413" s="42" t="n">
        <f aca="false">SIP_Fund2_HDFCMidcap!I32</f>
        <v>22.3839365530752</v>
      </c>
      <c r="F413" s="38" t="n">
        <f aca="false">Assumptions!$C$5-B413</f>
        <v>3211</v>
      </c>
      <c r="G413" s="41" t="n">
        <f aca="false">Assumptions!$D$22*(1+Assumptions!$F$22)^((Assumptions!$C$5-Assumptions!$C$4)/365)</f>
        <v>681.584366566089</v>
      </c>
      <c r="H413" s="40" t="n">
        <f aca="false">E413*G413</f>
        <v>15256.5412167833</v>
      </c>
      <c r="I413" s="48" t="n">
        <f aca="false">IF(F413&lt;365,Assumptions!$G$22,IF(F413&lt;=730,Assumptions!$H$22,Assumptions!$I$22))</f>
        <v>0</v>
      </c>
      <c r="J413" s="40" t="n">
        <f aca="false">H413*I413</f>
        <v>0</v>
      </c>
      <c r="K413" s="40" t="n">
        <f aca="false">H413-J413</f>
        <v>15256.5412167833</v>
      </c>
      <c r="L413" s="40" t="n">
        <f aca="false">K413-C413</f>
        <v>10256.5412167833</v>
      </c>
      <c r="M413" s="38" t="str">
        <f aca="false">IF(F413&gt;365,"LTCG","STCG")</f>
        <v>LTCG</v>
      </c>
      <c r="N413" s="48" t="n">
        <f aca="false">IF(M413="LTCG",Assumptions!$C$12,Assumptions!$C$11)</f>
        <v>0.125</v>
      </c>
      <c r="O413" s="38" t="str">
        <f aca="false">IF(M413="STCG",MAX(L413,0)*Assumptions!$C$11,"agg. below")</f>
        <v>agg. below</v>
      </c>
    </row>
    <row r="414" customFormat="false" ht="15" hidden="false" customHeight="false" outlineLevel="1" collapsed="false">
      <c r="A414" s="33" t="str">
        <f aca="false">TEXT(SIP_Fund2_HDFCMidcap!B33,"mmm-yyyy")</f>
        <v>May-2027</v>
      </c>
      <c r="B414" s="34" t="n">
        <f aca="false">SIP_Fund2_HDFCMidcap!B33</f>
        <v>46508</v>
      </c>
      <c r="C414" s="35" t="n">
        <f aca="false">SIP_Fund2_HDFCMidcap!C33</f>
        <v>5000</v>
      </c>
      <c r="D414" s="36" t="n">
        <f aca="false">SIP_Fund2_HDFCMidcap!H33</f>
        <v>225.714799430598</v>
      </c>
      <c r="E414" s="37" t="n">
        <f aca="false">SIP_Fund2_HDFCMidcap!I33</f>
        <v>22.1518483174932</v>
      </c>
      <c r="F414" s="33" t="n">
        <f aca="false">Assumptions!$C$5-B414</f>
        <v>3181</v>
      </c>
      <c r="G414" s="36" t="n">
        <f aca="false">Assumptions!$D$22*(1+Assumptions!$F$22)^((Assumptions!$C$5-Assumptions!$C$4)/365)</f>
        <v>681.584366566089</v>
      </c>
      <c r="H414" s="35" t="n">
        <f aca="false">E414*G414</f>
        <v>15098.3535037467</v>
      </c>
      <c r="I414" s="47" t="n">
        <f aca="false">IF(F414&lt;365,Assumptions!$G$22,IF(F414&lt;=730,Assumptions!$H$22,Assumptions!$I$22))</f>
        <v>0</v>
      </c>
      <c r="J414" s="35" t="n">
        <f aca="false">H414*I414</f>
        <v>0</v>
      </c>
      <c r="K414" s="35" t="n">
        <f aca="false">H414-J414</f>
        <v>15098.3535037467</v>
      </c>
      <c r="L414" s="35" t="n">
        <f aca="false">K414-C414</f>
        <v>10098.3535037467</v>
      </c>
      <c r="M414" s="33" t="str">
        <f aca="false">IF(F414&gt;365,"LTCG","STCG")</f>
        <v>LTCG</v>
      </c>
      <c r="N414" s="47" t="n">
        <f aca="false">IF(M414="LTCG",Assumptions!$C$12,Assumptions!$C$11)</f>
        <v>0.125</v>
      </c>
      <c r="O414" s="33" t="str">
        <f aca="false">IF(M414="STCG",MAX(L414,0)*Assumptions!$C$11,"agg. below")</f>
        <v>agg. below</v>
      </c>
    </row>
    <row r="415" customFormat="false" ht="15" hidden="false" customHeight="false" outlineLevel="1" collapsed="false">
      <c r="A415" s="38" t="str">
        <f aca="false">TEXT(SIP_Fund2_HDFCMidcap!B34,"mmm-yyyy")</f>
        <v>Jun-2027</v>
      </c>
      <c r="B415" s="39" t="n">
        <f aca="false">SIP_Fund2_HDFCMidcap!B34</f>
        <v>46539</v>
      </c>
      <c r="C415" s="40" t="n">
        <f aca="false">SIP_Fund2_HDFCMidcap!C34</f>
        <v>5000</v>
      </c>
      <c r="D415" s="41" t="n">
        <f aca="false">SIP_Fund2_HDFCMidcap!H34</f>
        <v>228.158900760048</v>
      </c>
      <c r="E415" s="42" t="n">
        <f aca="false">SIP_Fund2_HDFCMidcap!I34</f>
        <v>21.9145515837597</v>
      </c>
      <c r="F415" s="38" t="n">
        <f aca="false">Assumptions!$C$5-B415</f>
        <v>3150</v>
      </c>
      <c r="G415" s="41" t="n">
        <f aca="false">Assumptions!$D$22*(1+Assumptions!$F$22)^((Assumptions!$C$5-Assumptions!$C$4)/365)</f>
        <v>681.584366566089</v>
      </c>
      <c r="H415" s="40" t="n">
        <f aca="false">E415*G415</f>
        <v>14936.6157597968</v>
      </c>
      <c r="I415" s="48" t="n">
        <f aca="false">IF(F415&lt;365,Assumptions!$G$22,IF(F415&lt;=730,Assumptions!$H$22,Assumptions!$I$22))</f>
        <v>0</v>
      </c>
      <c r="J415" s="40" t="n">
        <f aca="false">H415*I415</f>
        <v>0</v>
      </c>
      <c r="K415" s="40" t="n">
        <f aca="false">H415-J415</f>
        <v>14936.6157597968</v>
      </c>
      <c r="L415" s="40" t="n">
        <f aca="false">K415-C415</f>
        <v>9936.61575979677</v>
      </c>
      <c r="M415" s="38" t="str">
        <f aca="false">IF(F415&gt;365,"LTCG","STCG")</f>
        <v>LTCG</v>
      </c>
      <c r="N415" s="48" t="n">
        <f aca="false">IF(M415="LTCG",Assumptions!$C$12,Assumptions!$C$11)</f>
        <v>0.125</v>
      </c>
      <c r="O415" s="38" t="str">
        <f aca="false">IF(M415="STCG",MAX(L415,0)*Assumptions!$C$11,"agg. below")</f>
        <v>agg. below</v>
      </c>
    </row>
    <row r="416" customFormat="false" ht="15" hidden="false" customHeight="false" outlineLevel="1" collapsed="false">
      <c r="A416" s="33" t="str">
        <f aca="false">TEXT(SIP_Fund2_HDFCMidcap!B35,"mmm-yyyy")</f>
        <v>Jul-2027</v>
      </c>
      <c r="B416" s="34" t="n">
        <f aca="false">SIP_Fund2_HDFCMidcap!B35</f>
        <v>46569</v>
      </c>
      <c r="C416" s="35" t="n">
        <f aca="false">SIP_Fund2_HDFCMidcap!C35</f>
        <v>5000</v>
      </c>
      <c r="D416" s="36" t="n">
        <f aca="false">SIP_Fund2_HDFCMidcap!H35</f>
        <v>230.549355766366</v>
      </c>
      <c r="E416" s="37" t="n">
        <f aca="false">SIP_Fund2_HDFCMidcap!I35</f>
        <v>21.6873301743983</v>
      </c>
      <c r="F416" s="33" t="n">
        <f aca="false">Assumptions!$C$5-B416</f>
        <v>3120</v>
      </c>
      <c r="G416" s="36" t="n">
        <f aca="false">Assumptions!$D$22*(1+Assumptions!$F$22)^((Assumptions!$C$5-Assumptions!$C$4)/365)</f>
        <v>681.584366566089</v>
      </c>
      <c r="H416" s="35" t="n">
        <f aca="false">E416*G416</f>
        <v>14781.7451994269</v>
      </c>
      <c r="I416" s="47" t="n">
        <f aca="false">IF(F416&lt;365,Assumptions!$G$22,IF(F416&lt;=730,Assumptions!$H$22,Assumptions!$I$22))</f>
        <v>0</v>
      </c>
      <c r="J416" s="35" t="n">
        <f aca="false">H416*I416</f>
        <v>0</v>
      </c>
      <c r="K416" s="35" t="n">
        <f aca="false">H416-J416</f>
        <v>14781.7451994269</v>
      </c>
      <c r="L416" s="35" t="n">
        <f aca="false">K416-C416</f>
        <v>9781.74519942689</v>
      </c>
      <c r="M416" s="33" t="str">
        <f aca="false">IF(F416&gt;365,"LTCG","STCG")</f>
        <v>LTCG</v>
      </c>
      <c r="N416" s="47" t="n">
        <f aca="false">IF(M416="LTCG",Assumptions!$C$12,Assumptions!$C$11)</f>
        <v>0.125</v>
      </c>
      <c r="O416" s="33" t="str">
        <f aca="false">IF(M416="STCG",MAX(L416,0)*Assumptions!$C$11,"agg. below")</f>
        <v>agg. below</v>
      </c>
    </row>
    <row r="417" customFormat="false" ht="15" hidden="false" customHeight="false" outlineLevel="1" collapsed="false">
      <c r="A417" s="38" t="str">
        <f aca="false">TEXT(SIP_Fund2_HDFCMidcap!B36,"mmm-yyyy")</f>
        <v>Aug-2027</v>
      </c>
      <c r="B417" s="39" t="n">
        <f aca="false">SIP_Fund2_HDFCMidcap!B36</f>
        <v>46600</v>
      </c>
      <c r="C417" s="40" t="n">
        <f aca="false">SIP_Fund2_HDFCMidcap!C36</f>
        <v>5000</v>
      </c>
      <c r="D417" s="41" t="n">
        <f aca="false">SIP_Fund2_HDFCMidcap!H36</f>
        <v>233.045806988679</v>
      </c>
      <c r="E417" s="42" t="n">
        <f aca="false">SIP_Fund2_HDFCMidcap!I36</f>
        <v>21.4550094876537</v>
      </c>
      <c r="F417" s="38" t="n">
        <f aca="false">Assumptions!$C$5-B417</f>
        <v>3089</v>
      </c>
      <c r="G417" s="41" t="n">
        <f aca="false">Assumptions!$D$22*(1+Assumptions!$F$22)^((Assumptions!$C$5-Assumptions!$C$4)/365)</f>
        <v>681.584366566089</v>
      </c>
      <c r="H417" s="40" t="n">
        <f aca="false">E417*G417</f>
        <v>14623.3990513118</v>
      </c>
      <c r="I417" s="48" t="n">
        <f aca="false">IF(F417&lt;365,Assumptions!$G$22,IF(F417&lt;=730,Assumptions!$H$22,Assumptions!$I$22))</f>
        <v>0</v>
      </c>
      <c r="J417" s="40" t="n">
        <f aca="false">H417*I417</f>
        <v>0</v>
      </c>
      <c r="K417" s="40" t="n">
        <f aca="false">H417-J417</f>
        <v>14623.3990513118</v>
      </c>
      <c r="L417" s="40" t="n">
        <f aca="false">K417-C417</f>
        <v>9623.39905131185</v>
      </c>
      <c r="M417" s="38" t="str">
        <f aca="false">IF(F417&gt;365,"LTCG","STCG")</f>
        <v>LTCG</v>
      </c>
      <c r="N417" s="48" t="n">
        <f aca="false">IF(M417="LTCG",Assumptions!$C$12,Assumptions!$C$11)</f>
        <v>0.125</v>
      </c>
      <c r="O417" s="38" t="str">
        <f aca="false">IF(M417="STCG",MAX(L417,0)*Assumptions!$C$11,"agg. below")</f>
        <v>agg. below</v>
      </c>
    </row>
    <row r="418" customFormat="false" ht="15" hidden="false" customHeight="false" outlineLevel="1" collapsed="false">
      <c r="A418" s="33" t="str">
        <f aca="false">TEXT(SIP_Fund2_HDFCMidcap!B37,"mmm-yyyy")</f>
        <v>Sep-2027</v>
      </c>
      <c r="B418" s="34" t="n">
        <f aca="false">SIP_Fund2_HDFCMidcap!B37</f>
        <v>46631</v>
      </c>
      <c r="C418" s="35" t="n">
        <f aca="false">SIP_Fund2_HDFCMidcap!C37</f>
        <v>5000</v>
      </c>
      <c r="D418" s="36" t="n">
        <f aca="false">SIP_Fund2_HDFCMidcap!H37</f>
        <v>235.569290464821</v>
      </c>
      <c r="E418" s="37" t="n">
        <f aca="false">SIP_Fund2_HDFCMidcap!I37</f>
        <v>21.2251774844425</v>
      </c>
      <c r="F418" s="33" t="n">
        <f aca="false">Assumptions!$C$5-B418</f>
        <v>3058</v>
      </c>
      <c r="G418" s="36" t="n">
        <f aca="false">Assumptions!$D$22*(1+Assumptions!$F$22)^((Assumptions!$C$5-Assumptions!$C$4)/365)</f>
        <v>681.584366566089</v>
      </c>
      <c r="H418" s="35" t="n">
        <f aca="false">E418*G418</f>
        <v>14466.7491509865</v>
      </c>
      <c r="I418" s="47" t="n">
        <f aca="false">IF(F418&lt;365,Assumptions!$G$22,IF(F418&lt;=730,Assumptions!$H$22,Assumptions!$I$22))</f>
        <v>0</v>
      </c>
      <c r="J418" s="35" t="n">
        <f aca="false">H418*I418</f>
        <v>0</v>
      </c>
      <c r="K418" s="35" t="n">
        <f aca="false">H418-J418</f>
        <v>14466.7491509865</v>
      </c>
      <c r="L418" s="35" t="n">
        <f aca="false">K418-C418</f>
        <v>9466.74915098653</v>
      </c>
      <c r="M418" s="33" t="str">
        <f aca="false">IF(F418&gt;365,"LTCG","STCG")</f>
        <v>LTCG</v>
      </c>
      <c r="N418" s="47" t="n">
        <f aca="false">IF(M418="LTCG",Assumptions!$C$12,Assumptions!$C$11)</f>
        <v>0.125</v>
      </c>
      <c r="O418" s="33" t="str">
        <f aca="false">IF(M418="STCG",MAX(L418,0)*Assumptions!$C$11,"agg. below")</f>
        <v>agg. below</v>
      </c>
    </row>
    <row r="419" customFormat="false" ht="15" hidden="false" customHeight="false" outlineLevel="1" collapsed="false">
      <c r="A419" s="38" t="str">
        <f aca="false">TEXT(SIP_Fund2_HDFCMidcap!B38,"mmm-yyyy")</f>
        <v>Oct-2027</v>
      </c>
      <c r="B419" s="39" t="n">
        <f aca="false">SIP_Fund2_HDFCMidcap!B38</f>
        <v>46661</v>
      </c>
      <c r="C419" s="40" t="n">
        <f aca="false">SIP_Fund2_HDFCMidcap!C38</f>
        <v>5000</v>
      </c>
      <c r="D419" s="41" t="n">
        <f aca="false">SIP_Fund2_HDFCMidcap!H38</f>
        <v>238.037385234959</v>
      </c>
      <c r="E419" s="42" t="n">
        <f aca="false">SIP_Fund2_HDFCMidcap!I38</f>
        <v>21.0051038624234</v>
      </c>
      <c r="F419" s="38" t="n">
        <f aca="false">Assumptions!$C$5-B419</f>
        <v>3028</v>
      </c>
      <c r="G419" s="41" t="n">
        <f aca="false">Assumptions!$D$22*(1+Assumptions!$F$22)^((Assumptions!$C$5-Assumptions!$C$4)/365)</f>
        <v>681.584366566089</v>
      </c>
      <c r="H419" s="40" t="n">
        <f aca="false">E419*G419</f>
        <v>14316.7504107248</v>
      </c>
      <c r="I419" s="48" t="n">
        <f aca="false">IF(F419&lt;365,Assumptions!$G$22,IF(F419&lt;=730,Assumptions!$H$22,Assumptions!$I$22))</f>
        <v>0</v>
      </c>
      <c r="J419" s="40" t="n">
        <f aca="false">H419*I419</f>
        <v>0</v>
      </c>
      <c r="K419" s="40" t="n">
        <f aca="false">H419-J419</f>
        <v>14316.7504107248</v>
      </c>
      <c r="L419" s="40" t="n">
        <f aca="false">K419-C419</f>
        <v>9316.75041072476</v>
      </c>
      <c r="M419" s="38" t="str">
        <f aca="false">IF(F419&gt;365,"LTCG","STCG")</f>
        <v>LTCG</v>
      </c>
      <c r="N419" s="48" t="n">
        <f aca="false">IF(M419="LTCG",Assumptions!$C$12,Assumptions!$C$11)</f>
        <v>0.125</v>
      </c>
      <c r="O419" s="38" t="str">
        <f aca="false">IF(M419="STCG",MAX(L419,0)*Assumptions!$C$11,"agg. below")</f>
        <v>agg. below</v>
      </c>
    </row>
    <row r="420" customFormat="false" ht="15" hidden="false" customHeight="false" outlineLevel="1" collapsed="false">
      <c r="A420" s="33" t="str">
        <f aca="false">TEXT(SIP_Fund2_HDFCMidcap!B39,"mmm-yyyy")</f>
        <v>Nov-2027</v>
      </c>
      <c r="B420" s="34" t="n">
        <f aca="false">SIP_Fund2_HDFCMidcap!B39</f>
        <v>46692</v>
      </c>
      <c r="C420" s="35" t="n">
        <f aca="false">SIP_Fund2_HDFCMidcap!C39</f>
        <v>5000</v>
      </c>
      <c r="D420" s="36" t="n">
        <f aca="false">SIP_Fund2_HDFCMidcap!H39</f>
        <v>240.614918879981</v>
      </c>
      <c r="E420" s="37" t="n">
        <f aca="false">SIP_Fund2_HDFCMidcap!I39</f>
        <v>20.7800913728629</v>
      </c>
      <c r="F420" s="33" t="n">
        <f aca="false">Assumptions!$C$5-B420</f>
        <v>2997</v>
      </c>
      <c r="G420" s="36" t="n">
        <f aca="false">Assumptions!$D$22*(1+Assumptions!$F$22)^((Assumptions!$C$5-Assumptions!$C$4)/365)</f>
        <v>681.584366566089</v>
      </c>
      <c r="H420" s="35" t="n">
        <f aca="false">E420*G420</f>
        <v>14163.3854155582</v>
      </c>
      <c r="I420" s="47" t="n">
        <f aca="false">IF(F420&lt;365,Assumptions!$G$22,IF(F420&lt;=730,Assumptions!$H$22,Assumptions!$I$22))</f>
        <v>0</v>
      </c>
      <c r="J420" s="35" t="n">
        <f aca="false">H420*I420</f>
        <v>0</v>
      </c>
      <c r="K420" s="35" t="n">
        <f aca="false">H420-J420</f>
        <v>14163.3854155582</v>
      </c>
      <c r="L420" s="35" t="n">
        <f aca="false">K420-C420</f>
        <v>9163.38541555824</v>
      </c>
      <c r="M420" s="33" t="str">
        <f aca="false">IF(F420&gt;365,"LTCG","STCG")</f>
        <v>LTCG</v>
      </c>
      <c r="N420" s="47" t="n">
        <f aca="false">IF(M420="LTCG",Assumptions!$C$12,Assumptions!$C$11)</f>
        <v>0.125</v>
      </c>
      <c r="O420" s="33" t="str">
        <f aca="false">IF(M420="STCG",MAX(L420,0)*Assumptions!$C$11,"agg. below")</f>
        <v>agg. below</v>
      </c>
    </row>
    <row r="421" customFormat="false" ht="15" hidden="false" customHeight="false" outlineLevel="1" collapsed="false">
      <c r="A421" s="38" t="str">
        <f aca="false">TEXT(SIP_Fund2_HDFCMidcap!B40,"mmm-yyyy")</f>
        <v>Dec-2027</v>
      </c>
      <c r="B421" s="39" t="n">
        <f aca="false">SIP_Fund2_HDFCMidcap!B40</f>
        <v>46722</v>
      </c>
      <c r="C421" s="40" t="n">
        <f aca="false">SIP_Fund2_HDFCMidcap!C40</f>
        <v>5000</v>
      </c>
      <c r="D421" s="41" t="n">
        <f aca="false">SIP_Fund2_HDFCMidcap!H40</f>
        <v>243.135877455409</v>
      </c>
      <c r="E421" s="42" t="n">
        <f aca="false">SIP_Fund2_HDFCMidcap!I40</f>
        <v>20.5646326339353</v>
      </c>
      <c r="F421" s="38" t="n">
        <f aca="false">Assumptions!$C$5-B421</f>
        <v>2967</v>
      </c>
      <c r="G421" s="41" t="n">
        <f aca="false">Assumptions!$D$22*(1+Assumptions!$F$22)^((Assumptions!$C$5-Assumptions!$C$4)/365)</f>
        <v>681.584366566089</v>
      </c>
      <c r="H421" s="40" t="n">
        <f aca="false">E421*G421</f>
        <v>14016.5321074651</v>
      </c>
      <c r="I421" s="48" t="n">
        <f aca="false">IF(F421&lt;365,Assumptions!$G$22,IF(F421&lt;=730,Assumptions!$H$22,Assumptions!$I$22))</f>
        <v>0</v>
      </c>
      <c r="J421" s="40" t="n">
        <f aca="false">H421*I421</f>
        <v>0</v>
      </c>
      <c r="K421" s="40" t="n">
        <f aca="false">H421-J421</f>
        <v>14016.5321074651</v>
      </c>
      <c r="L421" s="40" t="n">
        <f aca="false">K421-C421</f>
        <v>9016.53210746512</v>
      </c>
      <c r="M421" s="38" t="str">
        <f aca="false">IF(F421&gt;365,"LTCG","STCG")</f>
        <v>LTCG</v>
      </c>
      <c r="N421" s="48" t="n">
        <f aca="false">IF(M421="LTCG",Assumptions!$C$12,Assumptions!$C$11)</f>
        <v>0.125</v>
      </c>
      <c r="O421" s="38" t="str">
        <f aca="false">IF(M421="STCG",MAX(L421,0)*Assumptions!$C$11,"agg. below")</f>
        <v>agg. below</v>
      </c>
    </row>
    <row r="422" customFormat="false" ht="15" hidden="false" customHeight="false" outlineLevel="1" collapsed="false">
      <c r="A422" s="33" t="str">
        <f aca="false">TEXT(SIP_Fund2_HDFCMidcap!B41,"mmm-yyyy")</f>
        <v>Jan-2028</v>
      </c>
      <c r="B422" s="34" t="n">
        <f aca="false">SIP_Fund2_HDFCMidcap!B41</f>
        <v>46753</v>
      </c>
      <c r="C422" s="35" t="n">
        <f aca="false">SIP_Fund2_HDFCMidcap!C41</f>
        <v>6000</v>
      </c>
      <c r="D422" s="36" t="n">
        <f aca="false">SIP_Fund2_HDFCMidcap!H41</f>
        <v>245.768618962944</v>
      </c>
      <c r="E422" s="37" t="n">
        <f aca="false">SIP_Fund2_HDFCMidcap!I41</f>
        <v>24.413206312986</v>
      </c>
      <c r="F422" s="33" t="n">
        <f aca="false">Assumptions!$C$5-B422</f>
        <v>2936</v>
      </c>
      <c r="G422" s="36" t="n">
        <f aca="false">Assumptions!$D$22*(1+Assumptions!$F$22)^((Assumptions!$C$5-Assumptions!$C$4)/365)</f>
        <v>681.584366566089</v>
      </c>
      <c r="H422" s="35" t="n">
        <f aca="false">E422*G422</f>
        <v>16639.6597606838</v>
      </c>
      <c r="I422" s="47" t="n">
        <f aca="false">IF(F422&lt;365,Assumptions!$G$22,IF(F422&lt;=730,Assumptions!$H$22,Assumptions!$I$22))</f>
        <v>0</v>
      </c>
      <c r="J422" s="35" t="n">
        <f aca="false">H422*I422</f>
        <v>0</v>
      </c>
      <c r="K422" s="35" t="n">
        <f aca="false">H422-J422</f>
        <v>16639.6597606838</v>
      </c>
      <c r="L422" s="35" t="n">
        <f aca="false">K422-C422</f>
        <v>10639.6597606838</v>
      </c>
      <c r="M422" s="33" t="str">
        <f aca="false">IF(F422&gt;365,"LTCG","STCG")</f>
        <v>LTCG</v>
      </c>
      <c r="N422" s="47" t="n">
        <f aca="false">IF(M422="LTCG",Assumptions!$C$12,Assumptions!$C$11)</f>
        <v>0.125</v>
      </c>
      <c r="O422" s="33" t="str">
        <f aca="false">IF(M422="STCG",MAX(L422,0)*Assumptions!$C$11,"agg. below")</f>
        <v>agg. below</v>
      </c>
    </row>
    <row r="423" customFormat="false" ht="15" hidden="false" customHeight="false" outlineLevel="1" collapsed="false">
      <c r="A423" s="38" t="str">
        <f aca="false">TEXT(SIP_Fund2_HDFCMidcap!B42,"mmm-yyyy")</f>
        <v>Feb-2028</v>
      </c>
      <c r="B423" s="39" t="n">
        <f aca="false">SIP_Fund2_HDFCMidcap!B42</f>
        <v>46784</v>
      </c>
      <c r="C423" s="40" t="n">
        <f aca="false">SIP_Fund2_HDFCMidcap!C42</f>
        <v>6000</v>
      </c>
      <c r="D423" s="41" t="n">
        <f aca="false">SIP_Fund2_HDFCMidcap!H42</f>
        <v>248.429868512641</v>
      </c>
      <c r="E423" s="42" t="n">
        <f aca="false">SIP_Fund2_HDFCMidcap!I42</f>
        <v>24.1516852861624</v>
      </c>
      <c r="F423" s="38" t="n">
        <f aca="false">Assumptions!$C$5-B423</f>
        <v>2905</v>
      </c>
      <c r="G423" s="41" t="n">
        <f aca="false">Assumptions!$D$22*(1+Assumptions!$F$22)^((Assumptions!$C$5-Assumptions!$C$4)/365)</f>
        <v>681.584366566089</v>
      </c>
      <c r="H423" s="40" t="n">
        <f aca="false">E423*G423</f>
        <v>16461.4111172725</v>
      </c>
      <c r="I423" s="48" t="n">
        <f aca="false">IF(F423&lt;365,Assumptions!$G$22,IF(F423&lt;=730,Assumptions!$H$22,Assumptions!$I$22))</f>
        <v>0</v>
      </c>
      <c r="J423" s="40" t="n">
        <f aca="false">H423*I423</f>
        <v>0</v>
      </c>
      <c r="K423" s="40" t="n">
        <f aca="false">H423-J423</f>
        <v>16461.4111172725</v>
      </c>
      <c r="L423" s="40" t="n">
        <f aca="false">K423-C423</f>
        <v>10461.4111172725</v>
      </c>
      <c r="M423" s="38" t="str">
        <f aca="false">IF(F423&gt;365,"LTCG","STCG")</f>
        <v>LTCG</v>
      </c>
      <c r="N423" s="48" t="n">
        <f aca="false">IF(M423="LTCG",Assumptions!$C$12,Assumptions!$C$11)</f>
        <v>0.125</v>
      </c>
      <c r="O423" s="38" t="str">
        <f aca="false">IF(M423="STCG",MAX(L423,0)*Assumptions!$C$11,"agg. below")</f>
        <v>agg. below</v>
      </c>
    </row>
    <row r="424" customFormat="false" ht="15" hidden="false" customHeight="false" outlineLevel="1" collapsed="false">
      <c r="A424" s="33" t="str">
        <f aca="false">TEXT(SIP_Fund2_HDFCMidcap!B43,"mmm-yyyy")</f>
        <v>Mar-2028</v>
      </c>
      <c r="B424" s="34" t="n">
        <f aca="false">SIP_Fund2_HDFCMidcap!B43</f>
        <v>46813</v>
      </c>
      <c r="C424" s="35" t="n">
        <f aca="false">SIP_Fund2_HDFCMidcap!C43</f>
        <v>6000</v>
      </c>
      <c r="D424" s="36" t="n">
        <f aca="false">SIP_Fund2_HDFCMidcap!H43</f>
        <v>250.945506476532</v>
      </c>
      <c r="E424" s="37" t="n">
        <f aca="false">SIP_Fund2_HDFCMidcap!I43</f>
        <v>23.9095733740947</v>
      </c>
      <c r="F424" s="33" t="n">
        <f aca="false">Assumptions!$C$5-B424</f>
        <v>2876</v>
      </c>
      <c r="G424" s="36" t="n">
        <f aca="false">Assumptions!$D$22*(1+Assumptions!$F$22)^((Assumptions!$C$5-Assumptions!$C$4)/365)</f>
        <v>681.584366566089</v>
      </c>
      <c r="H424" s="35" t="n">
        <f aca="false">E424*G424</f>
        <v>16296.3914230478</v>
      </c>
      <c r="I424" s="47" t="n">
        <f aca="false">IF(F424&lt;365,Assumptions!$G$22,IF(F424&lt;=730,Assumptions!$H$22,Assumptions!$I$22))</f>
        <v>0</v>
      </c>
      <c r="J424" s="35" t="n">
        <f aca="false">H424*I424</f>
        <v>0</v>
      </c>
      <c r="K424" s="35" t="n">
        <f aca="false">H424-J424</f>
        <v>16296.3914230478</v>
      </c>
      <c r="L424" s="35" t="n">
        <f aca="false">K424-C424</f>
        <v>10296.3914230478</v>
      </c>
      <c r="M424" s="33" t="str">
        <f aca="false">IF(F424&gt;365,"LTCG","STCG")</f>
        <v>LTCG</v>
      </c>
      <c r="N424" s="47" t="n">
        <f aca="false">IF(M424="LTCG",Assumptions!$C$12,Assumptions!$C$11)</f>
        <v>0.125</v>
      </c>
      <c r="O424" s="33" t="str">
        <f aca="false">IF(M424="STCG",MAX(L424,0)*Assumptions!$C$11,"agg. below")</f>
        <v>agg. below</v>
      </c>
    </row>
    <row r="425" customFormat="false" ht="15" hidden="false" customHeight="false" outlineLevel="1" collapsed="false">
      <c r="A425" s="38" t="str">
        <f aca="false">TEXT(SIP_Fund2_HDFCMidcap!B44,"mmm-yyyy")</f>
        <v>Apr-2028</v>
      </c>
      <c r="B425" s="39" t="n">
        <f aca="false">SIP_Fund2_HDFCMidcap!B44</f>
        <v>46844</v>
      </c>
      <c r="C425" s="40" t="n">
        <f aca="false">SIP_Fund2_HDFCMidcap!C44</f>
        <v>6000</v>
      </c>
      <c r="D425" s="41" t="n">
        <f aca="false">SIP_Fund2_HDFCMidcap!H44</f>
        <v>253.66281277433</v>
      </c>
      <c r="E425" s="42" t="n">
        <f aca="false">SIP_Fund2_HDFCMidcap!I44</f>
        <v>23.6534474027846</v>
      </c>
      <c r="F425" s="38" t="n">
        <f aca="false">Assumptions!$C$5-B425</f>
        <v>2845</v>
      </c>
      <c r="G425" s="41" t="n">
        <f aca="false">Assumptions!$D$22*(1+Assumptions!$F$22)^((Assumptions!$C$5-Assumptions!$C$4)/365)</f>
        <v>681.584366566089</v>
      </c>
      <c r="H425" s="40" t="n">
        <f aca="false">E425*G425</f>
        <v>16121.8199651312</v>
      </c>
      <c r="I425" s="48" t="n">
        <f aca="false">IF(F425&lt;365,Assumptions!$G$22,IF(F425&lt;=730,Assumptions!$H$22,Assumptions!$I$22))</f>
        <v>0</v>
      </c>
      <c r="J425" s="40" t="n">
        <f aca="false">H425*I425</f>
        <v>0</v>
      </c>
      <c r="K425" s="40" t="n">
        <f aca="false">H425-J425</f>
        <v>16121.8199651312</v>
      </c>
      <c r="L425" s="40" t="n">
        <f aca="false">K425-C425</f>
        <v>10121.8199651312</v>
      </c>
      <c r="M425" s="38" t="str">
        <f aca="false">IF(F425&gt;365,"LTCG","STCG")</f>
        <v>LTCG</v>
      </c>
      <c r="N425" s="48" t="n">
        <f aca="false">IF(M425="LTCG",Assumptions!$C$12,Assumptions!$C$11)</f>
        <v>0.125</v>
      </c>
      <c r="O425" s="38" t="str">
        <f aca="false">IF(M425="STCG",MAX(L425,0)*Assumptions!$C$11,"agg. below")</f>
        <v>agg. below</v>
      </c>
    </row>
    <row r="426" customFormat="false" ht="15" hidden="false" customHeight="false" outlineLevel="1" collapsed="false">
      <c r="A426" s="33" t="str">
        <f aca="false">TEXT(SIP_Fund2_HDFCMidcap!B45,"mmm-yyyy")</f>
        <v>May-2028</v>
      </c>
      <c r="B426" s="34" t="n">
        <f aca="false">SIP_Fund2_HDFCMidcap!B45</f>
        <v>46874</v>
      </c>
      <c r="C426" s="35" t="n">
        <f aca="false">SIP_Fund2_HDFCMidcap!C45</f>
        <v>6000</v>
      </c>
      <c r="D426" s="36" t="n">
        <f aca="false">SIP_Fund2_HDFCMidcap!H45</f>
        <v>256.320476090085</v>
      </c>
      <c r="E426" s="37" t="n">
        <f aca="false">SIP_Fund2_HDFCMidcap!I45</f>
        <v>23.4081962218706</v>
      </c>
      <c r="F426" s="33" t="n">
        <f aca="false">Assumptions!$C$5-B426</f>
        <v>2815</v>
      </c>
      <c r="G426" s="36" t="n">
        <f aca="false">Assumptions!$D$22*(1+Assumptions!$F$22)^((Assumptions!$C$5-Assumptions!$C$4)/365)</f>
        <v>681.584366566089</v>
      </c>
      <c r="H426" s="35" t="n">
        <f aca="false">E426*G426</f>
        <v>15954.6605943384</v>
      </c>
      <c r="I426" s="47" t="n">
        <f aca="false">IF(F426&lt;365,Assumptions!$G$22,IF(F426&lt;=730,Assumptions!$H$22,Assumptions!$I$22))</f>
        <v>0</v>
      </c>
      <c r="J426" s="35" t="n">
        <f aca="false">H426*I426</f>
        <v>0</v>
      </c>
      <c r="K426" s="35" t="n">
        <f aca="false">H426-J426</f>
        <v>15954.6605943384</v>
      </c>
      <c r="L426" s="35" t="n">
        <f aca="false">K426-C426</f>
        <v>9954.6605943384</v>
      </c>
      <c r="M426" s="33" t="str">
        <f aca="false">IF(F426&gt;365,"LTCG","STCG")</f>
        <v>LTCG</v>
      </c>
      <c r="N426" s="47" t="n">
        <f aca="false">IF(M426="LTCG",Assumptions!$C$12,Assumptions!$C$11)</f>
        <v>0.125</v>
      </c>
      <c r="O426" s="33" t="str">
        <f aca="false">IF(M426="STCG",MAX(L426,0)*Assumptions!$C$11,"agg. below")</f>
        <v>agg. below</v>
      </c>
    </row>
    <row r="427" customFormat="false" ht="15" hidden="false" customHeight="false" outlineLevel="1" collapsed="false">
      <c r="A427" s="38" t="str">
        <f aca="false">TEXT(SIP_Fund2_HDFCMidcap!B46,"mmm-yyyy")</f>
        <v>Jun-2028</v>
      </c>
      <c r="B427" s="39" t="n">
        <f aca="false">SIP_Fund2_HDFCMidcap!B46</f>
        <v>46905</v>
      </c>
      <c r="C427" s="40" t="n">
        <f aca="false">SIP_Fund2_HDFCMidcap!C46</f>
        <v>6000</v>
      </c>
      <c r="D427" s="41" t="n">
        <f aca="false">SIP_Fund2_HDFCMidcap!H46</f>
        <v>259.095984022917</v>
      </c>
      <c r="E427" s="42" t="n">
        <f aca="false">SIP_Fund2_HDFCMidcap!I46</f>
        <v>23.1574411414625</v>
      </c>
      <c r="F427" s="38" t="n">
        <f aca="false">Assumptions!$C$5-B427</f>
        <v>2784</v>
      </c>
      <c r="G427" s="41" t="n">
        <f aca="false">Assumptions!$D$22*(1+Assumptions!$F$22)^((Assumptions!$C$5-Assumptions!$C$4)/365)</f>
        <v>681.584366566089</v>
      </c>
      <c r="H427" s="40" t="n">
        <f aca="false">E427*G427</f>
        <v>15783.7498516952</v>
      </c>
      <c r="I427" s="48" t="n">
        <f aca="false">IF(F427&lt;365,Assumptions!$G$22,IF(F427&lt;=730,Assumptions!$H$22,Assumptions!$I$22))</f>
        <v>0</v>
      </c>
      <c r="J427" s="40" t="n">
        <f aca="false">H427*I427</f>
        <v>0</v>
      </c>
      <c r="K427" s="40" t="n">
        <f aca="false">H427-J427</f>
        <v>15783.7498516952</v>
      </c>
      <c r="L427" s="40" t="n">
        <f aca="false">K427-C427</f>
        <v>9783.74985169521</v>
      </c>
      <c r="M427" s="38" t="str">
        <f aca="false">IF(F427&gt;365,"LTCG","STCG")</f>
        <v>LTCG</v>
      </c>
      <c r="N427" s="48" t="n">
        <f aca="false">IF(M427="LTCG",Assumptions!$C$12,Assumptions!$C$11)</f>
        <v>0.125</v>
      </c>
      <c r="O427" s="38" t="str">
        <f aca="false">IF(M427="STCG",MAX(L427,0)*Assumptions!$C$11,"agg. below")</f>
        <v>agg. below</v>
      </c>
    </row>
    <row r="428" customFormat="false" ht="15" hidden="false" customHeight="false" outlineLevel="1" collapsed="false">
      <c r="A428" s="33" t="str">
        <f aca="false">TEXT(SIP_Fund2_HDFCMidcap!B47,"mmm-yyyy")</f>
        <v>Jul-2028</v>
      </c>
      <c r="B428" s="34" t="n">
        <f aca="false">SIP_Fund2_HDFCMidcap!B47</f>
        <v>46935</v>
      </c>
      <c r="C428" s="35" t="n">
        <f aca="false">SIP_Fund2_HDFCMidcap!C47</f>
        <v>6000</v>
      </c>
      <c r="D428" s="36" t="n">
        <f aca="false">SIP_Fund2_HDFCMidcap!H47</f>
        <v>261.810571488324</v>
      </c>
      <c r="E428" s="37" t="n">
        <f aca="false">SIP_Fund2_HDFCMidcap!I47</f>
        <v>22.9173328100985</v>
      </c>
      <c r="F428" s="33" t="n">
        <f aca="false">Assumptions!$C$5-B428</f>
        <v>2754</v>
      </c>
      <c r="G428" s="36" t="n">
        <f aca="false">Assumptions!$D$22*(1+Assumptions!$F$22)^((Assumptions!$C$5-Assumptions!$C$4)/365)</f>
        <v>681.584366566089</v>
      </c>
      <c r="H428" s="35" t="n">
        <f aca="false">E428*G428</f>
        <v>15620.0957667552</v>
      </c>
      <c r="I428" s="47" t="n">
        <f aca="false">IF(F428&lt;365,Assumptions!$G$22,IF(F428&lt;=730,Assumptions!$H$22,Assumptions!$I$22))</f>
        <v>0</v>
      </c>
      <c r="J428" s="35" t="n">
        <f aca="false">H428*I428</f>
        <v>0</v>
      </c>
      <c r="K428" s="35" t="n">
        <f aca="false">H428-J428</f>
        <v>15620.0957667552</v>
      </c>
      <c r="L428" s="35" t="n">
        <f aca="false">K428-C428</f>
        <v>9620.0957667552</v>
      </c>
      <c r="M428" s="33" t="str">
        <f aca="false">IF(F428&gt;365,"LTCG","STCG")</f>
        <v>LTCG</v>
      </c>
      <c r="N428" s="47" t="n">
        <f aca="false">IF(M428="LTCG",Assumptions!$C$12,Assumptions!$C$11)</f>
        <v>0.125</v>
      </c>
      <c r="O428" s="33" t="str">
        <f aca="false">IF(M428="STCG",MAX(L428,0)*Assumptions!$C$11,"agg. below")</f>
        <v>agg. below</v>
      </c>
    </row>
    <row r="429" customFormat="false" ht="15" hidden="false" customHeight="false" outlineLevel="1" collapsed="false">
      <c r="A429" s="38" t="str">
        <f aca="false">TEXT(SIP_Fund2_HDFCMidcap!B48,"mmm-yyyy")</f>
        <v>Aug-2028</v>
      </c>
      <c r="B429" s="39" t="n">
        <f aca="false">SIP_Fund2_HDFCMidcap!B48</f>
        <v>46966</v>
      </c>
      <c r="C429" s="40" t="n">
        <f aca="false">SIP_Fund2_HDFCMidcap!C48</f>
        <v>6000</v>
      </c>
      <c r="D429" s="41" t="n">
        <f aca="false">SIP_Fund2_HDFCMidcap!H48</f>
        <v>264.645527669545</v>
      </c>
      <c r="E429" s="42" t="n">
        <f aca="false">SIP_Fund2_HDFCMidcap!I48</f>
        <v>22.6718359944931</v>
      </c>
      <c r="F429" s="38" t="n">
        <f aca="false">Assumptions!$C$5-B429</f>
        <v>2723</v>
      </c>
      <c r="G429" s="41" t="n">
        <f aca="false">Assumptions!$D$22*(1+Assumptions!$F$22)^((Assumptions!$C$5-Assumptions!$C$4)/365)</f>
        <v>681.584366566089</v>
      </c>
      <c r="H429" s="40" t="n">
        <f aca="false">E429*G429</f>
        <v>15452.7689751968</v>
      </c>
      <c r="I429" s="48" t="n">
        <f aca="false">IF(F429&lt;365,Assumptions!$G$22,IF(F429&lt;=730,Assumptions!$H$22,Assumptions!$I$22))</f>
        <v>0</v>
      </c>
      <c r="J429" s="40" t="n">
        <f aca="false">H429*I429</f>
        <v>0</v>
      </c>
      <c r="K429" s="40" t="n">
        <f aca="false">H429-J429</f>
        <v>15452.7689751968</v>
      </c>
      <c r="L429" s="40" t="n">
        <f aca="false">K429-C429</f>
        <v>9452.76897519681</v>
      </c>
      <c r="M429" s="38" t="str">
        <f aca="false">IF(F429&gt;365,"LTCG","STCG")</f>
        <v>LTCG</v>
      </c>
      <c r="N429" s="48" t="n">
        <f aca="false">IF(M429="LTCG",Assumptions!$C$12,Assumptions!$C$11)</f>
        <v>0.125</v>
      </c>
      <c r="O429" s="38" t="str">
        <f aca="false">IF(M429="STCG",MAX(L429,0)*Assumptions!$C$11,"agg. below")</f>
        <v>agg. below</v>
      </c>
    </row>
    <row r="430" customFormat="false" ht="15" hidden="false" customHeight="false" outlineLevel="1" collapsed="false">
      <c r="A430" s="33" t="str">
        <f aca="false">TEXT(SIP_Fund2_HDFCMidcap!B49,"mmm-yyyy")</f>
        <v>Sep-2028</v>
      </c>
      <c r="B430" s="34" t="n">
        <f aca="false">SIP_Fund2_HDFCMidcap!B49</f>
        <v>46997</v>
      </c>
      <c r="C430" s="35" t="n">
        <f aca="false">SIP_Fund2_HDFCMidcap!C49</f>
        <v>6000</v>
      </c>
      <c r="D430" s="36" t="n">
        <f aca="false">SIP_Fund2_HDFCMidcap!H49</f>
        <v>267.511181528494</v>
      </c>
      <c r="E430" s="37" t="n">
        <f aca="false">SIP_Fund2_HDFCMidcap!I49</f>
        <v>22.4289690087624</v>
      </c>
      <c r="F430" s="33" t="n">
        <f aca="false">Assumptions!$C$5-B430</f>
        <v>2692</v>
      </c>
      <c r="G430" s="36" t="n">
        <f aca="false">Assumptions!$D$22*(1+Assumptions!$F$22)^((Assumptions!$C$5-Assumptions!$C$4)/365)</f>
        <v>681.584366566089</v>
      </c>
      <c r="H430" s="35" t="n">
        <f aca="false">E430*G430</f>
        <v>15287.2346345677</v>
      </c>
      <c r="I430" s="47" t="n">
        <f aca="false">IF(F430&lt;365,Assumptions!$G$22,IF(F430&lt;=730,Assumptions!$H$22,Assumptions!$I$22))</f>
        <v>0</v>
      </c>
      <c r="J430" s="35" t="n">
        <f aca="false">H430*I430</f>
        <v>0</v>
      </c>
      <c r="K430" s="35" t="n">
        <f aca="false">H430-J430</f>
        <v>15287.2346345677</v>
      </c>
      <c r="L430" s="35" t="n">
        <f aca="false">K430-C430</f>
        <v>9287.23463456774</v>
      </c>
      <c r="M430" s="33" t="str">
        <f aca="false">IF(F430&gt;365,"LTCG","STCG")</f>
        <v>LTCG</v>
      </c>
      <c r="N430" s="47" t="n">
        <f aca="false">IF(M430="LTCG",Assumptions!$C$12,Assumptions!$C$11)</f>
        <v>0.125</v>
      </c>
      <c r="O430" s="33" t="str">
        <f aca="false">IF(M430="STCG",MAX(L430,0)*Assumptions!$C$11,"agg. below")</f>
        <v>agg. below</v>
      </c>
    </row>
    <row r="431" customFormat="false" ht="15" hidden="false" customHeight="false" outlineLevel="1" collapsed="false">
      <c r="A431" s="38" t="str">
        <f aca="false">TEXT(SIP_Fund2_HDFCMidcap!B50,"mmm-yyyy")</f>
        <v>Oct-2028</v>
      </c>
      <c r="B431" s="39" t="n">
        <f aca="false">SIP_Fund2_HDFCMidcap!B50</f>
        <v>47027</v>
      </c>
      <c r="C431" s="40" t="n">
        <f aca="false">SIP_Fund2_HDFCMidcap!C50</f>
        <v>6000</v>
      </c>
      <c r="D431" s="41" t="n">
        <f aca="false">SIP_Fund2_HDFCMidcap!H50</f>
        <v>270.313936279681</v>
      </c>
      <c r="E431" s="42" t="n">
        <f aca="false">SIP_Fund2_HDFCMidcap!I50</f>
        <v>22.19641385338</v>
      </c>
      <c r="F431" s="38" t="n">
        <f aca="false">Assumptions!$C$5-B431</f>
        <v>2662</v>
      </c>
      <c r="G431" s="41" t="n">
        <f aca="false">Assumptions!$D$22*(1+Assumptions!$F$22)^((Assumptions!$C$5-Assumptions!$C$4)/365)</f>
        <v>681.584366566089</v>
      </c>
      <c r="H431" s="40" t="n">
        <f aca="false">E431*G431</f>
        <v>15128.7286762948</v>
      </c>
      <c r="I431" s="48" t="n">
        <f aca="false">IF(F431&lt;365,Assumptions!$G$22,IF(F431&lt;=730,Assumptions!$H$22,Assumptions!$I$22))</f>
        <v>0</v>
      </c>
      <c r="J431" s="40" t="n">
        <f aca="false">H431*I431</f>
        <v>0</v>
      </c>
      <c r="K431" s="40" t="n">
        <f aca="false">H431-J431</f>
        <v>15128.7286762948</v>
      </c>
      <c r="L431" s="40" t="n">
        <f aca="false">K431-C431</f>
        <v>9128.7286762948</v>
      </c>
      <c r="M431" s="38" t="str">
        <f aca="false">IF(F431&gt;365,"LTCG","STCG")</f>
        <v>LTCG</v>
      </c>
      <c r="N431" s="48" t="n">
        <f aca="false">IF(M431="LTCG",Assumptions!$C$12,Assumptions!$C$11)</f>
        <v>0.125</v>
      </c>
      <c r="O431" s="38" t="str">
        <f aca="false">IF(M431="STCG",MAX(L431,0)*Assumptions!$C$11,"agg. below")</f>
        <v>agg. below</v>
      </c>
    </row>
    <row r="432" customFormat="false" ht="15" hidden="false" customHeight="false" outlineLevel="1" collapsed="false">
      <c r="A432" s="33" t="str">
        <f aca="false">TEXT(SIP_Fund2_HDFCMidcap!B51,"mmm-yyyy")</f>
        <v>Nov-2028</v>
      </c>
      <c r="B432" s="34" t="n">
        <f aca="false">SIP_Fund2_HDFCMidcap!B51</f>
        <v>47058</v>
      </c>
      <c r="C432" s="35" t="n">
        <f aca="false">SIP_Fund2_HDFCMidcap!C51</f>
        <v>6000</v>
      </c>
      <c r="D432" s="36" t="n">
        <f aca="false">SIP_Fund2_HDFCMidcap!H51</f>
        <v>273.240969211047</v>
      </c>
      <c r="E432" s="37" t="n">
        <f aca="false">SIP_Fund2_HDFCMidcap!I51</f>
        <v>21.9586397212846</v>
      </c>
      <c r="F432" s="33" t="n">
        <f aca="false">Assumptions!$C$5-B432</f>
        <v>2631</v>
      </c>
      <c r="G432" s="36" t="n">
        <f aca="false">Assumptions!$D$22*(1+Assumptions!$F$22)^((Assumptions!$C$5-Assumptions!$C$4)/365)</f>
        <v>681.584366566089</v>
      </c>
      <c r="H432" s="35" t="n">
        <f aca="false">E432*G432</f>
        <v>14966.6655450847</v>
      </c>
      <c r="I432" s="47" t="n">
        <f aca="false">IF(F432&lt;365,Assumptions!$G$22,IF(F432&lt;=730,Assumptions!$H$22,Assumptions!$I$22))</f>
        <v>0</v>
      </c>
      <c r="J432" s="35" t="n">
        <f aca="false">H432*I432</f>
        <v>0</v>
      </c>
      <c r="K432" s="35" t="n">
        <f aca="false">H432-J432</f>
        <v>14966.6655450847</v>
      </c>
      <c r="L432" s="35" t="n">
        <f aca="false">K432-C432</f>
        <v>8966.66554508471</v>
      </c>
      <c r="M432" s="33" t="str">
        <f aca="false">IF(F432&gt;365,"LTCG","STCG")</f>
        <v>LTCG</v>
      </c>
      <c r="N432" s="47" t="n">
        <f aca="false">IF(M432="LTCG",Assumptions!$C$12,Assumptions!$C$11)</f>
        <v>0.125</v>
      </c>
      <c r="O432" s="33" t="str">
        <f aca="false">IF(M432="STCG",MAX(L432,0)*Assumptions!$C$11,"agg. below")</f>
        <v>agg. below</v>
      </c>
    </row>
    <row r="433" customFormat="false" ht="15" hidden="false" customHeight="false" outlineLevel="1" collapsed="false">
      <c r="A433" s="38" t="str">
        <f aca="false">TEXT(SIP_Fund2_HDFCMidcap!B52,"mmm-yyyy")</f>
        <v>Dec-2028</v>
      </c>
      <c r="B433" s="39" t="n">
        <f aca="false">SIP_Fund2_HDFCMidcap!B52</f>
        <v>47088</v>
      </c>
      <c r="C433" s="40" t="n">
        <f aca="false">SIP_Fund2_HDFCMidcap!C52</f>
        <v>6000</v>
      </c>
      <c r="D433" s="41" t="n">
        <f aca="false">SIP_Fund2_HDFCMidcap!H52</f>
        <v>276.103755806731</v>
      </c>
      <c r="E433" s="42" t="n">
        <f aca="false">SIP_Fund2_HDFCMidcap!I52</f>
        <v>21.7309611833022</v>
      </c>
      <c r="F433" s="38" t="n">
        <f aca="false">Assumptions!$C$5-B433</f>
        <v>2601</v>
      </c>
      <c r="G433" s="41" t="n">
        <f aca="false">Assumptions!$D$22*(1+Assumptions!$F$22)^((Assumptions!$C$5-Assumptions!$C$4)/365)</f>
        <v>681.584366566089</v>
      </c>
      <c r="H433" s="40" t="n">
        <f aca="false">E433*G433</f>
        <v>14811.4834129933</v>
      </c>
      <c r="I433" s="48" t="n">
        <f aca="false">IF(F433&lt;365,Assumptions!$G$22,IF(F433&lt;=730,Assumptions!$H$22,Assumptions!$I$22))</f>
        <v>0</v>
      </c>
      <c r="J433" s="40" t="n">
        <f aca="false">H433*I433</f>
        <v>0</v>
      </c>
      <c r="K433" s="40" t="n">
        <f aca="false">H433-J433</f>
        <v>14811.4834129933</v>
      </c>
      <c r="L433" s="40" t="n">
        <f aca="false">K433-C433</f>
        <v>8811.48341299327</v>
      </c>
      <c r="M433" s="38" t="str">
        <f aca="false">IF(F433&gt;365,"LTCG","STCG")</f>
        <v>LTCG</v>
      </c>
      <c r="N433" s="48" t="n">
        <f aca="false">IF(M433="LTCG",Assumptions!$C$12,Assumptions!$C$11)</f>
        <v>0.125</v>
      </c>
      <c r="O433" s="38" t="str">
        <f aca="false">IF(M433="STCG",MAX(L433,0)*Assumptions!$C$11,"agg. below")</f>
        <v>agg. below</v>
      </c>
    </row>
    <row r="434" customFormat="false" ht="15" hidden="false" customHeight="false" outlineLevel="1" collapsed="false">
      <c r="A434" s="33" t="str">
        <f aca="false">TEXT(SIP_Fund2_HDFCMidcap!B53,"mmm-yyyy")</f>
        <v>Jan-2029</v>
      </c>
      <c r="B434" s="34" t="n">
        <f aca="false">SIP_Fund2_HDFCMidcap!B53</f>
        <v>47119</v>
      </c>
      <c r="C434" s="35" t="n">
        <f aca="false">SIP_Fund2_HDFCMidcap!C53</f>
        <v>7000</v>
      </c>
      <c r="D434" s="36" t="n">
        <f aca="false">SIP_Fund2_HDFCMidcap!H53</f>
        <v>279.093482480993</v>
      </c>
      <c r="E434" s="37" t="n">
        <f aca="false">SIP_Fund2_HDFCMidcap!I53</f>
        <v>25.0812019606252</v>
      </c>
      <c r="F434" s="33" t="n">
        <f aca="false">Assumptions!$C$5-B434</f>
        <v>2570</v>
      </c>
      <c r="G434" s="36" t="n">
        <f aca="false">Assumptions!$D$22*(1+Assumptions!$F$22)^((Assumptions!$C$5-Assumptions!$C$4)/365)</f>
        <v>681.584366566089</v>
      </c>
      <c r="H434" s="35" t="n">
        <f aca="false">E434*G434</f>
        <v>17094.9551510489</v>
      </c>
      <c r="I434" s="47" t="n">
        <f aca="false">IF(F434&lt;365,Assumptions!$G$22,IF(F434&lt;=730,Assumptions!$H$22,Assumptions!$I$22))</f>
        <v>0</v>
      </c>
      <c r="J434" s="35" t="n">
        <f aca="false">H434*I434</f>
        <v>0</v>
      </c>
      <c r="K434" s="35" t="n">
        <f aca="false">H434-J434</f>
        <v>17094.9551510489</v>
      </c>
      <c r="L434" s="35" t="n">
        <f aca="false">K434-C434</f>
        <v>10094.9551510489</v>
      </c>
      <c r="M434" s="33" t="str">
        <f aca="false">IF(F434&gt;365,"LTCG","STCG")</f>
        <v>LTCG</v>
      </c>
      <c r="N434" s="47" t="n">
        <f aca="false">IF(M434="LTCG",Assumptions!$C$12,Assumptions!$C$11)</f>
        <v>0.125</v>
      </c>
      <c r="O434" s="33" t="str">
        <f aca="false">IF(M434="STCG",MAX(L434,0)*Assumptions!$C$11,"agg. below")</f>
        <v>agg. below</v>
      </c>
    </row>
    <row r="435" customFormat="false" ht="15" hidden="false" customHeight="false" outlineLevel="1" collapsed="false">
      <c r="A435" s="38" t="str">
        <f aca="false">TEXT(SIP_Fund2_HDFCMidcap!B54,"mmm-yyyy")</f>
        <v>Feb-2029</v>
      </c>
      <c r="B435" s="39" t="n">
        <f aca="false">SIP_Fund2_HDFCMidcap!B54</f>
        <v>47150</v>
      </c>
      <c r="C435" s="40" t="n">
        <f aca="false">SIP_Fund2_HDFCMidcap!C54</f>
        <v>7000</v>
      </c>
      <c r="D435" s="41" t="n">
        <f aca="false">SIP_Fund2_HDFCMidcap!H54</f>
        <v>282.11558273004</v>
      </c>
      <c r="E435" s="42" t="n">
        <f aca="false">SIP_Fund2_HDFCMidcap!I54</f>
        <v>24.8125251794347</v>
      </c>
      <c r="F435" s="38" t="n">
        <f aca="false">Assumptions!$C$5-B435</f>
        <v>2539</v>
      </c>
      <c r="G435" s="41" t="n">
        <f aca="false">Assumptions!$D$22*(1+Assumptions!$F$22)^((Assumptions!$C$5-Assumptions!$C$4)/365)</f>
        <v>681.584366566089</v>
      </c>
      <c r="H435" s="40" t="n">
        <f aca="false">E435*G435</f>
        <v>16911.8292573301</v>
      </c>
      <c r="I435" s="48" t="n">
        <f aca="false">IF(F435&lt;365,Assumptions!$G$22,IF(F435&lt;=730,Assumptions!$H$22,Assumptions!$I$22))</f>
        <v>0</v>
      </c>
      <c r="J435" s="40" t="n">
        <f aca="false">H435*I435</f>
        <v>0</v>
      </c>
      <c r="K435" s="40" t="n">
        <f aca="false">H435-J435</f>
        <v>16911.8292573301</v>
      </c>
      <c r="L435" s="40" t="n">
        <f aca="false">K435-C435</f>
        <v>9911.82925733012</v>
      </c>
      <c r="M435" s="38" t="str">
        <f aca="false">IF(F435&gt;365,"LTCG","STCG")</f>
        <v>LTCG</v>
      </c>
      <c r="N435" s="48" t="n">
        <f aca="false">IF(M435="LTCG",Assumptions!$C$12,Assumptions!$C$11)</f>
        <v>0.125</v>
      </c>
      <c r="O435" s="38" t="str">
        <f aca="false">IF(M435="STCG",MAX(L435,0)*Assumptions!$C$11,"agg. below")</f>
        <v>agg. below</v>
      </c>
    </row>
    <row r="436" customFormat="false" ht="15" hidden="false" customHeight="false" outlineLevel="1" collapsed="false">
      <c r="A436" s="33" t="str">
        <f aca="false">TEXT(SIP_Fund2_HDFCMidcap!B55,"mmm-yyyy")</f>
        <v>Mar-2029</v>
      </c>
      <c r="B436" s="34" t="n">
        <f aca="false">SIP_Fund2_HDFCMidcap!B55</f>
        <v>47178</v>
      </c>
      <c r="C436" s="35" t="n">
        <f aca="false">SIP_Fund2_HDFCMidcap!C55</f>
        <v>7000</v>
      </c>
      <c r="D436" s="36" t="n">
        <f aca="false">SIP_Fund2_HDFCMidcap!H55</f>
        <v>284.873338952159</v>
      </c>
      <c r="E436" s="37" t="n">
        <f aca="false">SIP_Fund2_HDFCMidcap!I55</f>
        <v>24.5723240572385</v>
      </c>
      <c r="F436" s="33" t="n">
        <f aca="false">Assumptions!$C$5-B436</f>
        <v>2511</v>
      </c>
      <c r="G436" s="36" t="n">
        <f aca="false">Assumptions!$D$22*(1+Assumptions!$F$22)^((Assumptions!$C$5-Assumptions!$C$4)/365)</f>
        <v>681.584366566089</v>
      </c>
      <c r="H436" s="35" t="n">
        <f aca="false">E436*G436</f>
        <v>16748.1119276096</v>
      </c>
      <c r="I436" s="47" t="n">
        <f aca="false">IF(F436&lt;365,Assumptions!$G$22,IF(F436&lt;=730,Assumptions!$H$22,Assumptions!$I$22))</f>
        <v>0</v>
      </c>
      <c r="J436" s="35" t="n">
        <f aca="false">H436*I436</f>
        <v>0</v>
      </c>
      <c r="K436" s="35" t="n">
        <f aca="false">H436-J436</f>
        <v>16748.1119276096</v>
      </c>
      <c r="L436" s="35" t="n">
        <f aca="false">K436-C436</f>
        <v>9748.11192760959</v>
      </c>
      <c r="M436" s="33" t="str">
        <f aca="false">IF(F436&gt;365,"LTCG","STCG")</f>
        <v>LTCG</v>
      </c>
      <c r="N436" s="47" t="n">
        <f aca="false">IF(M436="LTCG",Assumptions!$C$12,Assumptions!$C$11)</f>
        <v>0.125</v>
      </c>
      <c r="O436" s="33" t="str">
        <f aca="false">IF(M436="STCG",MAX(L436,0)*Assumptions!$C$11,"agg. below")</f>
        <v>agg. below</v>
      </c>
    </row>
    <row r="437" customFormat="false" ht="15" hidden="false" customHeight="false" outlineLevel="1" collapsed="false">
      <c r="A437" s="38" t="str">
        <f aca="false">TEXT(SIP_Fund2_HDFCMidcap!B56,"mmm-yyyy")</f>
        <v>Apr-2029</v>
      </c>
      <c r="B437" s="39" t="n">
        <f aca="false">SIP_Fund2_HDFCMidcap!B56</f>
        <v>47209</v>
      </c>
      <c r="C437" s="40" t="n">
        <f aca="false">SIP_Fund2_HDFCMidcap!C56</f>
        <v>7000</v>
      </c>
      <c r="D437" s="41" t="n">
        <f aca="false">SIP_Fund2_HDFCMidcap!H56</f>
        <v>287.958025061419</v>
      </c>
      <c r="E437" s="42" t="n">
        <f aca="false">SIP_Fund2_HDFCMidcap!I56</f>
        <v>24.3090985170737</v>
      </c>
      <c r="F437" s="38" t="n">
        <f aca="false">Assumptions!$C$5-B437</f>
        <v>2480</v>
      </c>
      <c r="G437" s="41" t="n">
        <f aca="false">Assumptions!$D$22*(1+Assumptions!$F$22)^((Assumptions!$C$5-Assumptions!$C$4)/365)</f>
        <v>681.584366566089</v>
      </c>
      <c r="H437" s="40" t="n">
        <f aca="false">E437*G437</f>
        <v>16568.7015145523</v>
      </c>
      <c r="I437" s="48" t="n">
        <f aca="false">IF(F437&lt;365,Assumptions!$G$22,IF(F437&lt;=730,Assumptions!$H$22,Assumptions!$I$22))</f>
        <v>0</v>
      </c>
      <c r="J437" s="40" t="n">
        <f aca="false">H437*I437</f>
        <v>0</v>
      </c>
      <c r="K437" s="40" t="n">
        <f aca="false">H437-J437</f>
        <v>16568.7015145523</v>
      </c>
      <c r="L437" s="40" t="n">
        <f aca="false">K437-C437</f>
        <v>9568.70151455231</v>
      </c>
      <c r="M437" s="38" t="str">
        <f aca="false">IF(F437&gt;365,"LTCG","STCG")</f>
        <v>LTCG</v>
      </c>
      <c r="N437" s="48" t="n">
        <f aca="false">IF(M437="LTCG",Assumptions!$C$12,Assumptions!$C$11)</f>
        <v>0.125</v>
      </c>
      <c r="O437" s="38" t="str">
        <f aca="false">IF(M437="STCG",MAX(L437,0)*Assumptions!$C$11,"agg. below")</f>
        <v>agg. below</v>
      </c>
    </row>
    <row r="438" customFormat="false" ht="15" hidden="false" customHeight="false" outlineLevel="1" collapsed="false">
      <c r="A438" s="33" t="str">
        <f aca="false">TEXT(SIP_Fund2_HDFCMidcap!B57,"mmm-yyyy")</f>
        <v>May-2029</v>
      </c>
      <c r="B438" s="34" t="n">
        <f aca="false">SIP_Fund2_HDFCMidcap!B57</f>
        <v>47239</v>
      </c>
      <c r="C438" s="35" t="n">
        <f aca="false">SIP_Fund2_HDFCMidcap!C57</f>
        <v>7000</v>
      </c>
      <c r="D438" s="36" t="n">
        <f aca="false">SIP_Fund2_HDFCMidcap!H57</f>
        <v>290.975004457464</v>
      </c>
      <c r="E438" s="37" t="n">
        <f aca="false">SIP_Fund2_HDFCMidcap!I57</f>
        <v>24.0570492061743</v>
      </c>
      <c r="F438" s="33" t="n">
        <f aca="false">Assumptions!$C$5-B438</f>
        <v>2450</v>
      </c>
      <c r="G438" s="36" t="n">
        <f aca="false">Assumptions!$D$22*(1+Assumptions!$F$22)^((Assumptions!$C$5-Assumptions!$C$4)/365)</f>
        <v>681.584366566089</v>
      </c>
      <c r="H438" s="35" t="n">
        <f aca="false">E438*G438</f>
        <v>16396.9086446395</v>
      </c>
      <c r="I438" s="47" t="n">
        <f aca="false">IF(F438&lt;365,Assumptions!$G$22,IF(F438&lt;=730,Assumptions!$H$22,Assumptions!$I$22))</f>
        <v>0</v>
      </c>
      <c r="J438" s="35" t="n">
        <f aca="false">H438*I438</f>
        <v>0</v>
      </c>
      <c r="K438" s="35" t="n">
        <f aca="false">H438-J438</f>
        <v>16396.9086446395</v>
      </c>
      <c r="L438" s="35" t="n">
        <f aca="false">K438-C438</f>
        <v>9396.90864463953</v>
      </c>
      <c r="M438" s="33" t="str">
        <f aca="false">IF(F438&gt;365,"LTCG","STCG")</f>
        <v>LTCG</v>
      </c>
      <c r="N438" s="47" t="n">
        <f aca="false">IF(M438="LTCG",Assumptions!$C$12,Assumptions!$C$11)</f>
        <v>0.125</v>
      </c>
      <c r="O438" s="33" t="str">
        <f aca="false">IF(M438="STCG",MAX(L438,0)*Assumptions!$C$11,"agg. below")</f>
        <v>agg. below</v>
      </c>
    </row>
    <row r="439" customFormat="false" ht="15" hidden="false" customHeight="false" outlineLevel="1" collapsed="false">
      <c r="A439" s="38" t="str">
        <f aca="false">TEXT(SIP_Fund2_HDFCMidcap!B58,"mmm-yyyy")</f>
        <v>Jun-2029</v>
      </c>
      <c r="B439" s="39" t="n">
        <f aca="false">SIP_Fund2_HDFCMidcap!B58</f>
        <v>47270</v>
      </c>
      <c r="C439" s="40" t="n">
        <f aca="false">SIP_Fund2_HDFCMidcap!C58</f>
        <v>7000</v>
      </c>
      <c r="D439" s="41" t="n">
        <f aca="false">SIP_Fund2_HDFCMidcap!H58</f>
        <v>294.125761062815</v>
      </c>
      <c r="E439" s="42" t="n">
        <f aca="false">SIP_Fund2_HDFCMidcap!I58</f>
        <v>23.7993434329101</v>
      </c>
      <c r="F439" s="38" t="n">
        <f aca="false">Assumptions!$C$5-B439</f>
        <v>2419</v>
      </c>
      <c r="G439" s="41" t="n">
        <f aca="false">Assumptions!$D$22*(1+Assumptions!$F$22)^((Assumptions!$C$5-Assumptions!$C$4)/365)</f>
        <v>681.584366566089</v>
      </c>
      <c r="H439" s="40" t="n">
        <f aca="false">E439*G439</f>
        <v>16221.2604184089</v>
      </c>
      <c r="I439" s="48" t="n">
        <f aca="false">IF(F439&lt;365,Assumptions!$G$22,IF(F439&lt;=730,Assumptions!$H$22,Assumptions!$I$22))</f>
        <v>0</v>
      </c>
      <c r="J439" s="40" t="n">
        <f aca="false">H439*I439</f>
        <v>0</v>
      </c>
      <c r="K439" s="40" t="n">
        <f aca="false">H439-J439</f>
        <v>16221.2604184089</v>
      </c>
      <c r="L439" s="40" t="n">
        <f aca="false">K439-C439</f>
        <v>9221.26041840887</v>
      </c>
      <c r="M439" s="38" t="str">
        <f aca="false">IF(F439&gt;365,"LTCG","STCG")</f>
        <v>LTCG</v>
      </c>
      <c r="N439" s="48" t="n">
        <f aca="false">IF(M439="LTCG",Assumptions!$C$12,Assumptions!$C$11)</f>
        <v>0.125</v>
      </c>
      <c r="O439" s="38" t="str">
        <f aca="false">IF(M439="STCG",MAX(L439,0)*Assumptions!$C$11,"agg. below")</f>
        <v>agg. below</v>
      </c>
    </row>
    <row r="440" customFormat="false" ht="15" hidden="false" customHeight="false" outlineLevel="1" collapsed="false">
      <c r="A440" s="33" t="str">
        <f aca="false">TEXT(SIP_Fund2_HDFCMidcap!B59,"mmm-yyyy")</f>
        <v>Jul-2029</v>
      </c>
      <c r="B440" s="34" t="n">
        <f aca="false">SIP_Fund2_HDFCMidcap!B59</f>
        <v>47300</v>
      </c>
      <c r="C440" s="35" t="n">
        <f aca="false">SIP_Fund2_HDFCMidcap!C59</f>
        <v>7000</v>
      </c>
      <c r="D440" s="36" t="n">
        <f aca="false">SIP_Fund2_HDFCMidcap!H59</f>
        <v>297.207360753546</v>
      </c>
      <c r="E440" s="37" t="n">
        <f aca="false">SIP_Fund2_HDFCMidcap!I59</f>
        <v>23.5525795264695</v>
      </c>
      <c r="F440" s="33" t="n">
        <f aca="false">Assumptions!$C$5-B440</f>
        <v>2389</v>
      </c>
      <c r="G440" s="36" t="n">
        <f aca="false">Assumptions!$D$22*(1+Assumptions!$F$22)^((Assumptions!$C$5-Assumptions!$C$4)/365)</f>
        <v>681.584366566089</v>
      </c>
      <c r="H440" s="35" t="n">
        <f aca="false">E440*G440</f>
        <v>16053.0699975462</v>
      </c>
      <c r="I440" s="47" t="n">
        <f aca="false">IF(F440&lt;365,Assumptions!$G$22,IF(F440&lt;=730,Assumptions!$H$22,Assumptions!$I$22))</f>
        <v>0</v>
      </c>
      <c r="J440" s="35" t="n">
        <f aca="false">H440*I440</f>
        <v>0</v>
      </c>
      <c r="K440" s="35" t="n">
        <f aca="false">H440-J440</f>
        <v>16053.0699975462</v>
      </c>
      <c r="L440" s="35" t="n">
        <f aca="false">K440-C440</f>
        <v>9053.06999754617</v>
      </c>
      <c r="M440" s="33" t="str">
        <f aca="false">IF(F440&gt;365,"LTCG","STCG")</f>
        <v>LTCG</v>
      </c>
      <c r="N440" s="47" t="n">
        <f aca="false">IF(M440="LTCG",Assumptions!$C$12,Assumptions!$C$11)</f>
        <v>0.125</v>
      </c>
      <c r="O440" s="33" t="str">
        <f aca="false">IF(M440="STCG",MAX(L440,0)*Assumptions!$C$11,"agg. below")</f>
        <v>agg. below</v>
      </c>
    </row>
    <row r="441" customFormat="false" ht="15" hidden="false" customHeight="false" outlineLevel="1" collapsed="false">
      <c r="A441" s="38" t="str">
        <f aca="false">TEXT(SIP_Fund2_HDFCMidcap!B60,"mmm-yyyy")</f>
        <v>Aug-2029</v>
      </c>
      <c r="B441" s="39" t="n">
        <f aca="false">SIP_Fund2_HDFCMidcap!B60</f>
        <v>47331</v>
      </c>
      <c r="C441" s="40" t="n">
        <f aca="false">SIP_Fund2_HDFCMidcap!C60</f>
        <v>7000</v>
      </c>
      <c r="D441" s="41" t="n">
        <f aca="false">SIP_Fund2_HDFCMidcap!H60</f>
        <v>300.425603010467</v>
      </c>
      <c r="E441" s="42" t="n">
        <f aca="false">SIP_Fund2_HDFCMidcap!I60</f>
        <v>23.3002777721182</v>
      </c>
      <c r="F441" s="38" t="n">
        <f aca="false">Assumptions!$C$5-B441</f>
        <v>2358</v>
      </c>
      <c r="G441" s="41" t="n">
        <f aca="false">Assumptions!$D$22*(1+Assumptions!$F$22)^((Assumptions!$C$5-Assumptions!$C$4)/365)</f>
        <v>681.584366566089</v>
      </c>
      <c r="H441" s="40" t="n">
        <f aca="false">E441*G441</f>
        <v>15881.1050661231</v>
      </c>
      <c r="I441" s="48" t="n">
        <f aca="false">IF(F441&lt;365,Assumptions!$G$22,IF(F441&lt;=730,Assumptions!$H$22,Assumptions!$I$22))</f>
        <v>0</v>
      </c>
      <c r="J441" s="40" t="n">
        <f aca="false">H441*I441</f>
        <v>0</v>
      </c>
      <c r="K441" s="40" t="n">
        <f aca="false">H441-J441</f>
        <v>15881.1050661231</v>
      </c>
      <c r="L441" s="40" t="n">
        <f aca="false">K441-C441</f>
        <v>8881.10506612311</v>
      </c>
      <c r="M441" s="38" t="str">
        <f aca="false">IF(F441&gt;365,"LTCG","STCG")</f>
        <v>LTCG</v>
      </c>
      <c r="N441" s="48" t="n">
        <f aca="false">IF(M441="LTCG",Assumptions!$C$12,Assumptions!$C$11)</f>
        <v>0.125</v>
      </c>
      <c r="O441" s="38" t="str">
        <f aca="false">IF(M441="STCG",MAX(L441,0)*Assumptions!$C$11,"agg. below")</f>
        <v>agg. below</v>
      </c>
    </row>
    <row r="442" customFormat="false" ht="15" hidden="false" customHeight="false" outlineLevel="1" collapsed="false">
      <c r="A442" s="33" t="str">
        <f aca="false">TEXT(SIP_Fund2_HDFCMidcap!B61,"mmm-yyyy")</f>
        <v>Sep-2029</v>
      </c>
      <c r="B442" s="34" t="n">
        <f aca="false">SIP_Fund2_HDFCMidcap!B61</f>
        <v>47362</v>
      </c>
      <c r="C442" s="35" t="n">
        <f aca="false">SIP_Fund2_HDFCMidcap!C61</f>
        <v>7000</v>
      </c>
      <c r="D442" s="36" t="n">
        <f aca="false">SIP_Fund2_HDFCMidcap!H61</f>
        <v>303.678693271147</v>
      </c>
      <c r="E442" s="37" t="n">
        <f aca="false">SIP_Fund2_HDFCMidcap!I61</f>
        <v>23.0506787440299</v>
      </c>
      <c r="F442" s="33" t="n">
        <f aca="false">Assumptions!$C$5-B442</f>
        <v>2327</v>
      </c>
      <c r="G442" s="36" t="n">
        <f aca="false">Assumptions!$D$22*(1+Assumptions!$F$22)^((Assumptions!$C$5-Assumptions!$C$4)/365)</f>
        <v>681.584366566089</v>
      </c>
      <c r="H442" s="35" t="n">
        <f aca="false">E442*G442</f>
        <v>15710.982270668</v>
      </c>
      <c r="I442" s="47" t="n">
        <f aca="false">IF(F442&lt;365,Assumptions!$G$22,IF(F442&lt;=730,Assumptions!$H$22,Assumptions!$I$22))</f>
        <v>0</v>
      </c>
      <c r="J442" s="35" t="n">
        <f aca="false">H442*I442</f>
        <v>0</v>
      </c>
      <c r="K442" s="35" t="n">
        <f aca="false">H442-J442</f>
        <v>15710.982270668</v>
      </c>
      <c r="L442" s="35" t="n">
        <f aca="false">K442-C442</f>
        <v>8710.98227066804</v>
      </c>
      <c r="M442" s="33" t="str">
        <f aca="false">IF(F442&gt;365,"LTCG","STCG")</f>
        <v>LTCG</v>
      </c>
      <c r="N442" s="47" t="n">
        <f aca="false">IF(M442="LTCG",Assumptions!$C$12,Assumptions!$C$11)</f>
        <v>0.125</v>
      </c>
      <c r="O442" s="33" t="str">
        <f aca="false">IF(M442="STCG",MAX(L442,0)*Assumptions!$C$11,"agg. below")</f>
        <v>agg. below</v>
      </c>
    </row>
    <row r="443" customFormat="false" ht="15" hidden="false" customHeight="false" outlineLevel="1" collapsed="false">
      <c r="A443" s="38" t="str">
        <f aca="false">TEXT(SIP_Fund2_HDFCMidcap!B62,"mmm-yyyy")</f>
        <v>Oct-2029</v>
      </c>
      <c r="B443" s="39" t="n">
        <f aca="false">SIP_Fund2_HDFCMidcap!B62</f>
        <v>47392</v>
      </c>
      <c r="C443" s="40" t="n">
        <f aca="false">SIP_Fund2_HDFCMidcap!C62</f>
        <v>7000</v>
      </c>
      <c r="D443" s="41" t="n">
        <f aca="false">SIP_Fund2_HDFCMidcap!H62</f>
        <v>306.860380464694</v>
      </c>
      <c r="E443" s="42" t="n">
        <f aca="false">SIP_Fund2_HDFCMidcap!I62</f>
        <v>22.8116773804411</v>
      </c>
      <c r="F443" s="38" t="n">
        <f aca="false">Assumptions!$C$5-B443</f>
        <v>2297</v>
      </c>
      <c r="G443" s="41" t="n">
        <f aca="false">Assumptions!$D$22*(1+Assumptions!$F$22)^((Assumptions!$C$5-Assumptions!$C$4)/365)</f>
        <v>681.584366566089</v>
      </c>
      <c r="H443" s="40" t="n">
        <f aca="false">E443*G443</f>
        <v>15548.0826776579</v>
      </c>
      <c r="I443" s="48" t="n">
        <f aca="false">IF(F443&lt;365,Assumptions!$G$22,IF(F443&lt;=730,Assumptions!$H$22,Assumptions!$I$22))</f>
        <v>0</v>
      </c>
      <c r="J443" s="40" t="n">
        <f aca="false">H443*I443</f>
        <v>0</v>
      </c>
      <c r="K443" s="40" t="n">
        <f aca="false">H443-J443</f>
        <v>15548.0826776579</v>
      </c>
      <c r="L443" s="40" t="n">
        <f aca="false">K443-C443</f>
        <v>8548.08267765792</v>
      </c>
      <c r="M443" s="38" t="str">
        <f aca="false">IF(F443&gt;365,"LTCG","STCG")</f>
        <v>LTCG</v>
      </c>
      <c r="N443" s="48" t="n">
        <f aca="false">IF(M443="LTCG",Assumptions!$C$12,Assumptions!$C$11)</f>
        <v>0.125</v>
      </c>
      <c r="O443" s="38" t="str">
        <f aca="false">IF(M443="STCG",MAX(L443,0)*Assumptions!$C$11,"agg. below")</f>
        <v>agg. below</v>
      </c>
    </row>
    <row r="444" customFormat="false" ht="15" hidden="false" customHeight="false" outlineLevel="1" collapsed="false">
      <c r="A444" s="33" t="str">
        <f aca="false">TEXT(SIP_Fund2_HDFCMidcap!B63,"mmm-yyyy")</f>
        <v>Nov-2029</v>
      </c>
      <c r="B444" s="34" t="n">
        <f aca="false">SIP_Fund2_HDFCMidcap!B63</f>
        <v>47423</v>
      </c>
      <c r="C444" s="35" t="n">
        <f aca="false">SIP_Fund2_HDFCMidcap!C63</f>
        <v>7000</v>
      </c>
      <c r="D444" s="36" t="n">
        <f aca="false">SIP_Fund2_HDFCMidcap!H63</f>
        <v>310.183148248381</v>
      </c>
      <c r="E444" s="37" t="n">
        <f aca="false">SIP_Fund2_HDFCMidcap!I63</f>
        <v>22.5673123750576</v>
      </c>
      <c r="F444" s="33" t="n">
        <f aca="false">Assumptions!$C$5-B444</f>
        <v>2266</v>
      </c>
      <c r="G444" s="36" t="n">
        <f aca="false">Assumptions!$D$22*(1+Assumptions!$F$22)^((Assumptions!$C$5-Assumptions!$C$4)/365)</f>
        <v>681.584366566089</v>
      </c>
      <c r="H444" s="35" t="n">
        <f aca="false">E444*G444</f>
        <v>15381.5273102527</v>
      </c>
      <c r="I444" s="47" t="n">
        <f aca="false">IF(F444&lt;365,Assumptions!$G$22,IF(F444&lt;=730,Assumptions!$H$22,Assumptions!$I$22))</f>
        <v>0</v>
      </c>
      <c r="J444" s="35" t="n">
        <f aca="false">H444*I444</f>
        <v>0</v>
      </c>
      <c r="K444" s="35" t="n">
        <f aca="false">H444-J444</f>
        <v>15381.5273102527</v>
      </c>
      <c r="L444" s="35" t="n">
        <f aca="false">K444-C444</f>
        <v>8381.52731025266</v>
      </c>
      <c r="M444" s="33" t="str">
        <f aca="false">IF(F444&gt;365,"LTCG","STCG")</f>
        <v>LTCG</v>
      </c>
      <c r="N444" s="47" t="n">
        <f aca="false">IF(M444="LTCG",Assumptions!$C$12,Assumptions!$C$11)</f>
        <v>0.125</v>
      </c>
      <c r="O444" s="33" t="str">
        <f aca="false">IF(M444="STCG",MAX(L444,0)*Assumptions!$C$11,"agg. below")</f>
        <v>agg. below</v>
      </c>
    </row>
    <row r="445" customFormat="false" ht="15" hidden="false" customHeight="false" outlineLevel="1" collapsed="false">
      <c r="A445" s="38" t="str">
        <f aca="false">TEXT(SIP_Fund2_HDFCMidcap!B64,"mmm-yyyy")</f>
        <v>Dec-2029</v>
      </c>
      <c r="B445" s="39" t="n">
        <f aca="false">SIP_Fund2_HDFCMidcap!B64</f>
        <v>47453</v>
      </c>
      <c r="C445" s="40" t="n">
        <f aca="false">SIP_Fund2_HDFCMidcap!C64</f>
        <v>7000</v>
      </c>
      <c r="D445" s="41" t="n">
        <f aca="false">SIP_Fund2_HDFCMidcap!H64</f>
        <v>313.432983591801</v>
      </c>
      <c r="E445" s="42" t="n">
        <f aca="false">SIP_Fund2_HDFCMidcap!I64</f>
        <v>22.3333228040749</v>
      </c>
      <c r="F445" s="38" t="n">
        <f aca="false">Assumptions!$C$5-B445</f>
        <v>2236</v>
      </c>
      <c r="G445" s="41" t="n">
        <f aca="false">Assumptions!$D$22*(1+Assumptions!$F$22)^((Assumptions!$C$5-Assumptions!$C$4)/365)</f>
        <v>681.584366566089</v>
      </c>
      <c r="H445" s="40" t="n">
        <f aca="false">E445*G445</f>
        <v>15222.0436767314</v>
      </c>
      <c r="I445" s="48" t="n">
        <f aca="false">IF(F445&lt;365,Assumptions!$G$22,IF(F445&lt;=730,Assumptions!$H$22,Assumptions!$I$22))</f>
        <v>0</v>
      </c>
      <c r="J445" s="40" t="n">
        <f aca="false">H445*I445</f>
        <v>0</v>
      </c>
      <c r="K445" s="40" t="n">
        <f aca="false">H445-J445</f>
        <v>15222.0436767314</v>
      </c>
      <c r="L445" s="40" t="n">
        <f aca="false">K445-C445</f>
        <v>8222.0436767314</v>
      </c>
      <c r="M445" s="38" t="str">
        <f aca="false">IF(F445&gt;365,"LTCG","STCG")</f>
        <v>LTCG</v>
      </c>
      <c r="N445" s="48" t="n">
        <f aca="false">IF(M445="LTCG",Assumptions!$C$12,Assumptions!$C$11)</f>
        <v>0.125</v>
      </c>
      <c r="O445" s="38" t="str">
        <f aca="false">IF(M445="STCG",MAX(L445,0)*Assumptions!$C$11,"agg. below")</f>
        <v>agg. below</v>
      </c>
    </row>
    <row r="446" customFormat="false" ht="15" hidden="false" customHeight="false" outlineLevel="1" collapsed="false">
      <c r="A446" s="33" t="str">
        <f aca="false">TEXT(SIP_Fund2_HDFCMidcap!B65,"mmm-yyyy")</f>
        <v>Jan-2030</v>
      </c>
      <c r="B446" s="34" t="n">
        <f aca="false">SIP_Fund2_HDFCMidcap!B65</f>
        <v>47484</v>
      </c>
      <c r="C446" s="35" t="n">
        <f aca="false">SIP_Fund2_HDFCMidcap!C65</f>
        <v>8000</v>
      </c>
      <c r="D446" s="36" t="n">
        <f aca="false">SIP_Fund2_HDFCMidcap!H65</f>
        <v>316.826921312423</v>
      </c>
      <c r="E446" s="37" t="n">
        <f aca="false">SIP_Fund2_HDFCMidcap!I65</f>
        <v>25.2503795032973</v>
      </c>
      <c r="F446" s="33" t="n">
        <f aca="false">Assumptions!$C$5-B446</f>
        <v>2205</v>
      </c>
      <c r="G446" s="36" t="n">
        <f aca="false">Assumptions!$D$22*(1+Assumptions!$F$22)^((Assumptions!$C$5-Assumptions!$C$4)/365)</f>
        <v>681.584366566089</v>
      </c>
      <c r="H446" s="35" t="n">
        <f aca="false">E446*G446</f>
        <v>17210.2639193082</v>
      </c>
      <c r="I446" s="47" t="n">
        <f aca="false">IF(F446&lt;365,Assumptions!$G$22,IF(F446&lt;=730,Assumptions!$H$22,Assumptions!$I$22))</f>
        <v>0</v>
      </c>
      <c r="J446" s="35" t="n">
        <f aca="false">H446*I446</f>
        <v>0</v>
      </c>
      <c r="K446" s="35" t="n">
        <f aca="false">H446-J446</f>
        <v>17210.2639193082</v>
      </c>
      <c r="L446" s="35" t="n">
        <f aca="false">K446-C446</f>
        <v>9210.26391930824</v>
      </c>
      <c r="M446" s="33" t="str">
        <f aca="false">IF(F446&gt;365,"LTCG","STCG")</f>
        <v>LTCG</v>
      </c>
      <c r="N446" s="47" t="n">
        <f aca="false">IF(M446="LTCG",Assumptions!$C$12,Assumptions!$C$11)</f>
        <v>0.125</v>
      </c>
      <c r="O446" s="33" t="str">
        <f aca="false">IF(M446="STCG",MAX(L446,0)*Assumptions!$C$11,"agg. below")</f>
        <v>agg. below</v>
      </c>
    </row>
    <row r="447" customFormat="false" ht="15" hidden="false" customHeight="false" outlineLevel="1" collapsed="false">
      <c r="A447" s="38" t="str">
        <f aca="false">TEXT(SIP_Fund2_HDFCMidcap!B66,"mmm-yyyy")</f>
        <v>Feb-2030</v>
      </c>
      <c r="B447" s="39" t="n">
        <f aca="false">SIP_Fund2_HDFCMidcap!B66</f>
        <v>47515</v>
      </c>
      <c r="C447" s="40" t="n">
        <f aca="false">SIP_Fund2_HDFCMidcap!C66</f>
        <v>8000</v>
      </c>
      <c r="D447" s="41" t="n">
        <f aca="false">SIP_Fund2_HDFCMidcap!H66</f>
        <v>320.257609515141</v>
      </c>
      <c r="E447" s="42" t="n">
        <f aca="false">SIP_Fund2_HDFCMidcap!I66</f>
        <v>24.979890445419</v>
      </c>
      <c r="F447" s="38" t="n">
        <f aca="false">Assumptions!$C$5-B447</f>
        <v>2174</v>
      </c>
      <c r="G447" s="41" t="n">
        <f aca="false">Assumptions!$D$22*(1+Assumptions!$F$22)^((Assumptions!$C$5-Assumptions!$C$4)/365)</f>
        <v>681.584366566089</v>
      </c>
      <c r="H447" s="40" t="n">
        <f aca="false">E447*G447</f>
        <v>17025.9028061312</v>
      </c>
      <c r="I447" s="48" t="n">
        <f aca="false">IF(F447&lt;365,Assumptions!$G$22,IF(F447&lt;=730,Assumptions!$H$22,Assumptions!$I$22))</f>
        <v>0</v>
      </c>
      <c r="J447" s="40" t="n">
        <f aca="false">H447*I447</f>
        <v>0</v>
      </c>
      <c r="K447" s="40" t="n">
        <f aca="false">H447-J447</f>
        <v>17025.9028061312</v>
      </c>
      <c r="L447" s="40" t="n">
        <f aca="false">K447-C447</f>
        <v>9025.9028061312</v>
      </c>
      <c r="M447" s="38" t="str">
        <f aca="false">IF(F447&gt;365,"LTCG","STCG")</f>
        <v>LTCG</v>
      </c>
      <c r="N447" s="48" t="n">
        <f aca="false">IF(M447="LTCG",Assumptions!$C$12,Assumptions!$C$11)</f>
        <v>0.125</v>
      </c>
      <c r="O447" s="38" t="str">
        <f aca="false">IF(M447="STCG",MAX(L447,0)*Assumptions!$C$11,"agg. below")</f>
        <v>agg. below</v>
      </c>
    </row>
    <row r="448" customFormat="false" ht="15" hidden="false" customHeight="false" outlineLevel="1" collapsed="false">
      <c r="A448" s="33" t="str">
        <f aca="false">TEXT(SIP_Fund2_HDFCMidcap!B67,"mmm-yyyy")</f>
        <v>Mar-2030</v>
      </c>
      <c r="B448" s="34" t="n">
        <f aca="false">SIP_Fund2_HDFCMidcap!B67</f>
        <v>47543</v>
      </c>
      <c r="C448" s="35" t="n">
        <f aca="false">SIP_Fund2_HDFCMidcap!C67</f>
        <v>8000</v>
      </c>
      <c r="D448" s="36" t="n">
        <f aca="false">SIP_Fund2_HDFCMidcap!H67</f>
        <v>323.388214378491</v>
      </c>
      <c r="E448" s="37" t="n">
        <f aca="false">SIP_Fund2_HDFCMidcap!I67</f>
        <v>24.7380691203448</v>
      </c>
      <c r="F448" s="33" t="n">
        <f aca="false">Assumptions!$C$5-B448</f>
        <v>2146</v>
      </c>
      <c r="G448" s="36" t="n">
        <f aca="false">Assumptions!$D$22*(1+Assumptions!$F$22)^((Assumptions!$C$5-Assumptions!$C$4)/365)</f>
        <v>681.584366566089</v>
      </c>
      <c r="H448" s="35" t="n">
        <f aca="false">E448*G448</f>
        <v>16861.0811714584</v>
      </c>
      <c r="I448" s="47" t="n">
        <f aca="false">IF(F448&lt;365,Assumptions!$G$22,IF(F448&lt;=730,Assumptions!$H$22,Assumptions!$I$22))</f>
        <v>0</v>
      </c>
      <c r="J448" s="35" t="n">
        <f aca="false">H448*I448</f>
        <v>0</v>
      </c>
      <c r="K448" s="35" t="n">
        <f aca="false">H448-J448</f>
        <v>16861.0811714584</v>
      </c>
      <c r="L448" s="35" t="n">
        <f aca="false">K448-C448</f>
        <v>8861.08117145836</v>
      </c>
      <c r="M448" s="33" t="str">
        <f aca="false">IF(F448&gt;365,"LTCG","STCG")</f>
        <v>LTCG</v>
      </c>
      <c r="N448" s="47" t="n">
        <f aca="false">IF(M448="LTCG",Assumptions!$C$12,Assumptions!$C$11)</f>
        <v>0.125</v>
      </c>
      <c r="O448" s="33" t="str">
        <f aca="false">IF(M448="STCG",MAX(L448,0)*Assumptions!$C$11,"agg. below")</f>
        <v>agg. below</v>
      </c>
    </row>
    <row r="449" customFormat="false" ht="15" hidden="false" customHeight="false" outlineLevel="1" collapsed="false">
      <c r="A449" s="38" t="str">
        <f aca="false">TEXT(SIP_Fund2_HDFCMidcap!B68,"mmm-yyyy")</f>
        <v>Apr-2030</v>
      </c>
      <c r="B449" s="39" t="n">
        <f aca="false">SIP_Fund2_HDFCMidcap!B68</f>
        <v>47574</v>
      </c>
      <c r="C449" s="40" t="n">
        <f aca="false">SIP_Fund2_HDFCMidcap!C68</f>
        <v>8000</v>
      </c>
      <c r="D449" s="41" t="n">
        <f aca="false">SIP_Fund2_HDFCMidcap!H68</f>
        <v>326.889950049723</v>
      </c>
      <c r="E449" s="42" t="n">
        <f aca="false">SIP_Fund2_HDFCMidcap!I68</f>
        <v>24.4730680731639</v>
      </c>
      <c r="F449" s="38" t="n">
        <f aca="false">Assumptions!$C$5-B449</f>
        <v>2115</v>
      </c>
      <c r="G449" s="41" t="n">
        <f aca="false">Assumptions!$D$22*(1+Assumptions!$F$22)^((Assumptions!$C$5-Assumptions!$C$4)/365)</f>
        <v>681.584366566089</v>
      </c>
      <c r="H449" s="40" t="n">
        <f aca="false">E449*G449</f>
        <v>16680.4606005762</v>
      </c>
      <c r="I449" s="48" t="n">
        <f aca="false">IF(F449&lt;365,Assumptions!$G$22,IF(F449&lt;=730,Assumptions!$H$22,Assumptions!$I$22))</f>
        <v>0</v>
      </c>
      <c r="J449" s="40" t="n">
        <f aca="false">H449*I449</f>
        <v>0</v>
      </c>
      <c r="K449" s="40" t="n">
        <f aca="false">H449-J449</f>
        <v>16680.4606005762</v>
      </c>
      <c r="L449" s="40" t="n">
        <f aca="false">K449-C449</f>
        <v>8680.46060057617</v>
      </c>
      <c r="M449" s="38" t="str">
        <f aca="false">IF(F449&gt;365,"LTCG","STCG")</f>
        <v>LTCG</v>
      </c>
      <c r="N449" s="48" t="n">
        <f aca="false">IF(M449="LTCG",Assumptions!$C$12,Assumptions!$C$11)</f>
        <v>0.125</v>
      </c>
      <c r="O449" s="38" t="str">
        <f aca="false">IF(M449="STCG",MAX(L449,0)*Assumptions!$C$11,"agg. below")</f>
        <v>agg. below</v>
      </c>
    </row>
    <row r="450" customFormat="false" ht="15" hidden="false" customHeight="false" outlineLevel="1" collapsed="false">
      <c r="A450" s="33" t="str">
        <f aca="false">TEXT(SIP_Fund2_HDFCMidcap!B69,"mmm-yyyy")</f>
        <v>May-2030</v>
      </c>
      <c r="B450" s="34" t="n">
        <f aca="false">SIP_Fund2_HDFCMidcap!B69</f>
        <v>47604</v>
      </c>
      <c r="C450" s="35" t="n">
        <f aca="false">SIP_Fund2_HDFCMidcap!C69</f>
        <v>8000</v>
      </c>
      <c r="D450" s="36" t="n">
        <f aca="false">SIP_Fund2_HDFCMidcap!H69</f>
        <v>330.314825060114</v>
      </c>
      <c r="E450" s="37" t="n">
        <f aca="false">SIP_Fund2_HDFCMidcap!I69</f>
        <v>24.2193186410694</v>
      </c>
      <c r="F450" s="33" t="n">
        <f aca="false">Assumptions!$C$5-B450</f>
        <v>2085</v>
      </c>
      <c r="G450" s="36" t="n">
        <f aca="false">Assumptions!$D$22*(1+Assumptions!$F$22)^((Assumptions!$C$5-Assumptions!$C$4)/365)</f>
        <v>681.584366566089</v>
      </c>
      <c r="H450" s="35" t="n">
        <f aca="false">E450*G450</f>
        <v>16507.5089546356</v>
      </c>
      <c r="I450" s="47" t="n">
        <f aca="false">IF(F450&lt;365,Assumptions!$G$22,IF(F450&lt;=730,Assumptions!$H$22,Assumptions!$I$22))</f>
        <v>0</v>
      </c>
      <c r="J450" s="35" t="n">
        <f aca="false">H450*I450</f>
        <v>0</v>
      </c>
      <c r="K450" s="35" t="n">
        <f aca="false">H450-J450</f>
        <v>16507.5089546356</v>
      </c>
      <c r="L450" s="35" t="n">
        <f aca="false">K450-C450</f>
        <v>8507.50895463559</v>
      </c>
      <c r="M450" s="33" t="str">
        <f aca="false">IF(F450&gt;365,"LTCG","STCG")</f>
        <v>LTCG</v>
      </c>
      <c r="N450" s="47" t="n">
        <f aca="false">IF(M450="LTCG",Assumptions!$C$12,Assumptions!$C$11)</f>
        <v>0.125</v>
      </c>
      <c r="O450" s="33" t="str">
        <f aca="false">IF(M450="STCG",MAX(L450,0)*Assumptions!$C$11,"agg. below")</f>
        <v>agg. below</v>
      </c>
    </row>
    <row r="451" customFormat="false" ht="15" hidden="false" customHeight="false" outlineLevel="1" collapsed="false">
      <c r="A451" s="38" t="str">
        <f aca="false">TEXT(SIP_Fund2_HDFCMidcap!B70,"mmm-yyyy")</f>
        <v>Jun-2030</v>
      </c>
      <c r="B451" s="39" t="n">
        <f aca="false">SIP_Fund2_HDFCMidcap!B70</f>
        <v>47635</v>
      </c>
      <c r="C451" s="40" t="n">
        <f aca="false">SIP_Fund2_HDFCMidcap!C70</f>
        <v>8000</v>
      </c>
      <c r="D451" s="41" t="n">
        <f aca="false">SIP_Fund2_HDFCMidcap!H70</f>
        <v>333.891563958508</v>
      </c>
      <c r="E451" s="42" t="n">
        <f aca="false">SIP_Fund2_HDFCMidcap!I70</f>
        <v>23.9598745926811</v>
      </c>
      <c r="F451" s="38" t="n">
        <f aca="false">Assumptions!$C$5-B451</f>
        <v>2054</v>
      </c>
      <c r="G451" s="41" t="n">
        <f aca="false">Assumptions!$D$22*(1+Assumptions!$F$22)^((Assumptions!$C$5-Assumptions!$C$4)/365)</f>
        <v>681.584366566089</v>
      </c>
      <c r="H451" s="40" t="n">
        <f aca="false">E451*G451</f>
        <v>16330.6759472555</v>
      </c>
      <c r="I451" s="48" t="n">
        <f aca="false">IF(F451&lt;365,Assumptions!$G$22,IF(F451&lt;=730,Assumptions!$H$22,Assumptions!$I$22))</f>
        <v>0</v>
      </c>
      <c r="J451" s="40" t="n">
        <f aca="false">H451*I451</f>
        <v>0</v>
      </c>
      <c r="K451" s="40" t="n">
        <f aca="false">H451-J451</f>
        <v>16330.6759472555</v>
      </c>
      <c r="L451" s="40" t="n">
        <f aca="false">K451-C451</f>
        <v>8330.67594725548</v>
      </c>
      <c r="M451" s="38" t="str">
        <f aca="false">IF(F451&gt;365,"LTCG","STCG")</f>
        <v>LTCG</v>
      </c>
      <c r="N451" s="48" t="n">
        <f aca="false">IF(M451="LTCG",Assumptions!$C$12,Assumptions!$C$11)</f>
        <v>0.125</v>
      </c>
      <c r="O451" s="38" t="str">
        <f aca="false">IF(M451="STCG",MAX(L451,0)*Assumptions!$C$11,"agg. below")</f>
        <v>agg. below</v>
      </c>
    </row>
    <row r="452" customFormat="false" ht="15" hidden="false" customHeight="false" outlineLevel="1" collapsed="false">
      <c r="A452" s="33" t="str">
        <f aca="false">TEXT(SIP_Fund2_HDFCMidcap!B71,"mmm-yyyy")</f>
        <v>Jul-2030</v>
      </c>
      <c r="B452" s="34" t="n">
        <f aca="false">SIP_Fund2_HDFCMidcap!B71</f>
        <v>47665</v>
      </c>
      <c r="C452" s="35" t="n">
        <f aca="false">SIP_Fund2_HDFCMidcap!C71</f>
        <v>8000</v>
      </c>
      <c r="D452" s="36" t="n">
        <f aca="false">SIP_Fund2_HDFCMidcap!H71</f>
        <v>337.389795927425</v>
      </c>
      <c r="E452" s="37" t="n">
        <f aca="false">SIP_Fund2_HDFCMidcap!I71</f>
        <v>23.7114462161175</v>
      </c>
      <c r="F452" s="33" t="n">
        <f aca="false">Assumptions!$C$5-B452</f>
        <v>2024</v>
      </c>
      <c r="G452" s="36" t="n">
        <f aca="false">Assumptions!$D$22*(1+Assumptions!$F$22)^((Assumptions!$C$5-Assumptions!$C$4)/365)</f>
        <v>681.584366566089</v>
      </c>
      <c r="H452" s="35" t="n">
        <f aca="false">E452*G452</f>
        <v>16161.3510495783</v>
      </c>
      <c r="I452" s="47" t="n">
        <f aca="false">IF(F452&lt;365,Assumptions!$G$22,IF(F452&lt;=730,Assumptions!$H$22,Assumptions!$I$22))</f>
        <v>0</v>
      </c>
      <c r="J452" s="35" t="n">
        <f aca="false">H452*I452</f>
        <v>0</v>
      </c>
      <c r="K452" s="35" t="n">
        <f aca="false">H452-J452</f>
        <v>16161.3510495783</v>
      </c>
      <c r="L452" s="35" t="n">
        <f aca="false">K452-C452</f>
        <v>8161.35104957834</v>
      </c>
      <c r="M452" s="33" t="str">
        <f aca="false">IF(F452&gt;365,"LTCG","STCG")</f>
        <v>LTCG</v>
      </c>
      <c r="N452" s="47" t="n">
        <f aca="false">IF(M452="LTCG",Assumptions!$C$12,Assumptions!$C$11)</f>
        <v>0.125</v>
      </c>
      <c r="O452" s="33" t="str">
        <f aca="false">IF(M452="STCG",MAX(L452,0)*Assumptions!$C$11,"agg. below")</f>
        <v>agg. below</v>
      </c>
    </row>
    <row r="453" customFormat="false" ht="15" hidden="false" customHeight="false" outlineLevel="1" collapsed="false">
      <c r="A453" s="38" t="str">
        <f aca="false">TEXT(SIP_Fund2_HDFCMidcap!B72,"mmm-yyyy")</f>
        <v>Aug-2030</v>
      </c>
      <c r="B453" s="39" t="n">
        <f aca="false">SIP_Fund2_HDFCMidcap!B72</f>
        <v>47696</v>
      </c>
      <c r="C453" s="40" t="n">
        <f aca="false">SIP_Fund2_HDFCMidcap!C72</f>
        <v>8000</v>
      </c>
      <c r="D453" s="41" t="n">
        <f aca="false">SIP_Fund2_HDFCMidcap!H72</f>
        <v>341.043144537483</v>
      </c>
      <c r="E453" s="42" t="n">
        <f aca="false">SIP_Fund2_HDFCMidcap!I72</f>
        <v>23.4574426377914</v>
      </c>
      <c r="F453" s="38" t="n">
        <f aca="false">Assumptions!$C$5-B453</f>
        <v>1993</v>
      </c>
      <c r="G453" s="41" t="n">
        <f aca="false">Assumptions!$D$22*(1+Assumptions!$F$22)^((Assumptions!$C$5-Assumptions!$C$4)/365)</f>
        <v>681.584366566089</v>
      </c>
      <c r="H453" s="40" t="n">
        <f aca="false">E453*G453</f>
        <v>15988.2261815394</v>
      </c>
      <c r="I453" s="48" t="n">
        <f aca="false">IF(F453&lt;365,Assumptions!$G$22,IF(F453&lt;=730,Assumptions!$H$22,Assumptions!$I$22))</f>
        <v>0</v>
      </c>
      <c r="J453" s="40" t="n">
        <f aca="false">H453*I453</f>
        <v>0</v>
      </c>
      <c r="K453" s="40" t="n">
        <f aca="false">H453-J453</f>
        <v>15988.2261815394</v>
      </c>
      <c r="L453" s="40" t="n">
        <f aca="false">K453-C453</f>
        <v>7988.22618153942</v>
      </c>
      <c r="M453" s="38" t="str">
        <f aca="false">IF(F453&gt;365,"LTCG","STCG")</f>
        <v>LTCG</v>
      </c>
      <c r="N453" s="48" t="n">
        <f aca="false">IF(M453="LTCG",Assumptions!$C$12,Assumptions!$C$11)</f>
        <v>0.125</v>
      </c>
      <c r="O453" s="38" t="str">
        <f aca="false">IF(M453="STCG",MAX(L453,0)*Assumptions!$C$11,"agg. below")</f>
        <v>agg. below</v>
      </c>
    </row>
    <row r="454" customFormat="false" ht="15" hidden="false" customHeight="false" outlineLevel="1" collapsed="false">
      <c r="A454" s="33" t="str">
        <f aca="false">TEXT(SIP_Fund2_HDFCMidcap!B73,"mmm-yyyy")</f>
        <v>Sep-2030</v>
      </c>
      <c r="B454" s="34" t="n">
        <f aca="false">SIP_Fund2_HDFCMidcap!B73</f>
        <v>47727</v>
      </c>
      <c r="C454" s="35" t="n">
        <f aca="false">SIP_Fund2_HDFCMidcap!C73</f>
        <v>8000</v>
      </c>
      <c r="D454" s="36" t="n">
        <f aca="false">SIP_Fund2_HDFCMidcap!H73</f>
        <v>344.736052601406</v>
      </c>
      <c r="E454" s="37" t="n">
        <f aca="false">SIP_Fund2_HDFCMidcap!I73</f>
        <v>23.206160016138</v>
      </c>
      <c r="F454" s="33" t="n">
        <f aca="false">Assumptions!$C$5-B454</f>
        <v>1962</v>
      </c>
      <c r="G454" s="36" t="n">
        <f aca="false">Assumptions!$D$22*(1+Assumptions!$F$22)^((Assumptions!$C$5-Assumptions!$C$4)/365)</f>
        <v>681.584366566089</v>
      </c>
      <c r="H454" s="35" t="n">
        <f aca="false">E454*G454</f>
        <v>15816.9558750308</v>
      </c>
      <c r="I454" s="47" t="n">
        <f aca="false">IF(F454&lt;365,Assumptions!$G$22,IF(F454&lt;=730,Assumptions!$H$22,Assumptions!$I$22))</f>
        <v>0</v>
      </c>
      <c r="J454" s="35" t="n">
        <f aca="false">H454*I454</f>
        <v>0</v>
      </c>
      <c r="K454" s="35" t="n">
        <f aca="false">H454-J454</f>
        <v>15816.9558750308</v>
      </c>
      <c r="L454" s="35" t="n">
        <f aca="false">K454-C454</f>
        <v>7816.95587503075</v>
      </c>
      <c r="M454" s="33" t="str">
        <f aca="false">IF(F454&gt;365,"LTCG","STCG")</f>
        <v>LTCG</v>
      </c>
      <c r="N454" s="47" t="n">
        <f aca="false">IF(M454="LTCG",Assumptions!$C$12,Assumptions!$C$11)</f>
        <v>0.125</v>
      </c>
      <c r="O454" s="33" t="str">
        <f aca="false">IF(M454="STCG",MAX(L454,0)*Assumptions!$C$11,"agg. below")</f>
        <v>agg. below</v>
      </c>
    </row>
    <row r="455" customFormat="false" ht="15" hidden="false" customHeight="false" outlineLevel="1" collapsed="false">
      <c r="A455" s="38" t="str">
        <f aca="false">TEXT(SIP_Fund2_HDFCMidcap!B74,"mmm-yyyy")</f>
        <v>Oct-2030</v>
      </c>
      <c r="B455" s="39" t="n">
        <f aca="false">SIP_Fund2_HDFCMidcap!B74</f>
        <v>47757</v>
      </c>
      <c r="C455" s="40" t="n">
        <f aca="false">SIP_Fund2_HDFCMidcap!C74</f>
        <v>8000</v>
      </c>
      <c r="D455" s="41" t="n">
        <f aca="false">SIP_Fund2_HDFCMidcap!H74</f>
        <v>348.34790390352</v>
      </c>
      <c r="E455" s="42" t="n">
        <f aca="false">SIP_Fund2_HDFCMidcap!I74</f>
        <v>22.9655465422743</v>
      </c>
      <c r="F455" s="38" t="n">
        <f aca="false">Assumptions!$C$5-B455</f>
        <v>1932</v>
      </c>
      <c r="G455" s="41" t="n">
        <f aca="false">Assumptions!$D$22*(1+Assumptions!$F$22)^((Assumptions!$C$5-Assumptions!$C$4)/365)</f>
        <v>681.584366566089</v>
      </c>
      <c r="H455" s="40" t="n">
        <f aca="false">E455*G455</f>
        <v>15652.9574928601</v>
      </c>
      <c r="I455" s="48" t="n">
        <f aca="false">IF(F455&lt;365,Assumptions!$G$22,IF(F455&lt;=730,Assumptions!$H$22,Assumptions!$I$22))</f>
        <v>0</v>
      </c>
      <c r="J455" s="40" t="n">
        <f aca="false">H455*I455</f>
        <v>0</v>
      </c>
      <c r="K455" s="40" t="n">
        <f aca="false">H455-J455</f>
        <v>15652.9574928601</v>
      </c>
      <c r="L455" s="40" t="n">
        <f aca="false">K455-C455</f>
        <v>7652.95749286008</v>
      </c>
      <c r="M455" s="38" t="str">
        <f aca="false">IF(F455&gt;365,"LTCG","STCG")</f>
        <v>LTCG</v>
      </c>
      <c r="N455" s="48" t="n">
        <f aca="false">IF(M455="LTCG",Assumptions!$C$12,Assumptions!$C$11)</f>
        <v>0.125</v>
      </c>
      <c r="O455" s="38" t="str">
        <f aca="false">IF(M455="STCG",MAX(L455,0)*Assumptions!$C$11,"agg. below")</f>
        <v>agg. below</v>
      </c>
    </row>
    <row r="456" customFormat="false" ht="15" hidden="false" customHeight="false" outlineLevel="1" collapsed="false">
      <c r="A456" s="33" t="str">
        <f aca="false">TEXT(SIP_Fund2_HDFCMidcap!B75,"mmm-yyyy")</f>
        <v>Nov-2030</v>
      </c>
      <c r="B456" s="34" t="n">
        <f aca="false">SIP_Fund2_HDFCMidcap!B75</f>
        <v>47788</v>
      </c>
      <c r="C456" s="35" t="n">
        <f aca="false">SIP_Fund2_HDFCMidcap!C75</f>
        <v>8000</v>
      </c>
      <c r="D456" s="36" t="n">
        <f aca="false">SIP_Fund2_HDFCMidcap!H75</f>
        <v>352.119909891562</v>
      </c>
      <c r="E456" s="37" t="n">
        <f aca="false">SIP_Fund2_HDFCMidcap!I75</f>
        <v>22.7195332478179</v>
      </c>
      <c r="F456" s="33" t="n">
        <f aca="false">Assumptions!$C$5-B456</f>
        <v>1901</v>
      </c>
      <c r="G456" s="36" t="n">
        <f aca="false">Assumptions!$D$22*(1+Assumptions!$F$22)^((Assumptions!$C$5-Assumptions!$C$4)/365)</f>
        <v>681.584366566089</v>
      </c>
      <c r="H456" s="35" t="n">
        <f aca="false">E456*G456</f>
        <v>15485.2786773912</v>
      </c>
      <c r="I456" s="47" t="n">
        <f aca="false">IF(F456&lt;365,Assumptions!$G$22,IF(F456&lt;=730,Assumptions!$H$22,Assumptions!$I$22))</f>
        <v>0</v>
      </c>
      <c r="J456" s="35" t="n">
        <f aca="false">H456*I456</f>
        <v>0</v>
      </c>
      <c r="K456" s="35" t="n">
        <f aca="false">H456-J456</f>
        <v>15485.2786773912</v>
      </c>
      <c r="L456" s="35" t="n">
        <f aca="false">K456-C456</f>
        <v>7485.27867739119</v>
      </c>
      <c r="M456" s="33" t="str">
        <f aca="false">IF(F456&gt;365,"LTCG","STCG")</f>
        <v>LTCG</v>
      </c>
      <c r="N456" s="47" t="n">
        <f aca="false">IF(M456="LTCG",Assumptions!$C$12,Assumptions!$C$11)</f>
        <v>0.125</v>
      </c>
      <c r="O456" s="33" t="str">
        <f aca="false">IF(M456="STCG",MAX(L456,0)*Assumptions!$C$11,"agg. below")</f>
        <v>agg. below</v>
      </c>
    </row>
    <row r="457" customFormat="false" ht="15" hidden="false" customHeight="false" outlineLevel="1" collapsed="false">
      <c r="A457" s="38" t="str">
        <f aca="false">TEXT(SIP_Fund2_HDFCMidcap!B76,"mmm-yyyy")</f>
        <v>Dec-2030</v>
      </c>
      <c r="B457" s="39" t="n">
        <f aca="false">SIP_Fund2_HDFCMidcap!B76</f>
        <v>47818</v>
      </c>
      <c r="C457" s="40" t="n">
        <f aca="false">SIP_Fund2_HDFCMidcap!C76</f>
        <v>8000</v>
      </c>
      <c r="D457" s="41" t="n">
        <f aca="false">SIP_Fund2_HDFCMidcap!H76</f>
        <v>355.809122973412</v>
      </c>
      <c r="E457" s="42" t="n">
        <f aca="false">SIP_Fund2_HDFCMidcap!I76</f>
        <v>22.4839653720678</v>
      </c>
      <c r="F457" s="38" t="n">
        <f aca="false">Assumptions!$C$5-B457</f>
        <v>1871</v>
      </c>
      <c r="G457" s="41" t="n">
        <f aca="false">Assumptions!$D$22*(1+Assumptions!$F$22)^((Assumptions!$C$5-Assumptions!$C$4)/365)</f>
        <v>681.584366566089</v>
      </c>
      <c r="H457" s="40" t="n">
        <f aca="false">E457*G457</f>
        <v>15324.7192960147</v>
      </c>
      <c r="I457" s="48" t="n">
        <f aca="false">IF(F457&lt;365,Assumptions!$G$22,IF(F457&lt;=730,Assumptions!$H$22,Assumptions!$I$22))</f>
        <v>0</v>
      </c>
      <c r="J457" s="40" t="n">
        <f aca="false">H457*I457</f>
        <v>0</v>
      </c>
      <c r="K457" s="40" t="n">
        <f aca="false">H457-J457</f>
        <v>15324.7192960147</v>
      </c>
      <c r="L457" s="40" t="n">
        <f aca="false">K457-C457</f>
        <v>7324.7192960147</v>
      </c>
      <c r="M457" s="38" t="str">
        <f aca="false">IF(F457&gt;365,"LTCG","STCG")</f>
        <v>LTCG</v>
      </c>
      <c r="N457" s="48" t="n">
        <f aca="false">IF(M457="LTCG",Assumptions!$C$12,Assumptions!$C$11)</f>
        <v>0.125</v>
      </c>
      <c r="O457" s="38" t="str">
        <f aca="false">IF(M457="STCG",MAX(L457,0)*Assumptions!$C$11,"agg. below")</f>
        <v>agg. below</v>
      </c>
    </row>
    <row r="458" customFormat="false" ht="15" hidden="false" customHeight="false" outlineLevel="1" collapsed="false">
      <c r="A458" s="33" t="str">
        <f aca="false">TEXT(SIP_Fund2_HDFCMidcap!B77,"mmm-yyyy")</f>
        <v>Jan-2031</v>
      </c>
      <c r="B458" s="34" t="n">
        <f aca="false">SIP_Fund2_HDFCMidcap!B77</f>
        <v>47849</v>
      </c>
      <c r="C458" s="35" t="n">
        <f aca="false">SIP_Fund2_HDFCMidcap!C77</f>
        <v>9000</v>
      </c>
      <c r="D458" s="36" t="n">
        <f aca="false">SIP_Fund2_HDFCMidcap!H77</f>
        <v>359.661921073863</v>
      </c>
      <c r="E458" s="37" t="n">
        <f aca="false">SIP_Fund2_HDFCMidcap!I77</f>
        <v>25.0234997720309</v>
      </c>
      <c r="F458" s="33" t="n">
        <f aca="false">Assumptions!$C$5-B458</f>
        <v>1840</v>
      </c>
      <c r="G458" s="36" t="n">
        <f aca="false">Assumptions!$D$22*(1+Assumptions!$F$22)^((Assumptions!$C$5-Assumptions!$C$4)/365)</f>
        <v>681.584366566089</v>
      </c>
      <c r="H458" s="35" t="n">
        <f aca="false">E458*G458</f>
        <v>17055.6262413863</v>
      </c>
      <c r="I458" s="47" t="n">
        <f aca="false">IF(F458&lt;365,Assumptions!$G$22,IF(F458&lt;=730,Assumptions!$H$22,Assumptions!$I$22))</f>
        <v>0</v>
      </c>
      <c r="J458" s="35" t="n">
        <f aca="false">H458*I458</f>
        <v>0</v>
      </c>
      <c r="K458" s="35" t="n">
        <f aca="false">H458-J458</f>
        <v>17055.6262413863</v>
      </c>
      <c r="L458" s="35" t="n">
        <f aca="false">K458-C458</f>
        <v>8055.62624138634</v>
      </c>
      <c r="M458" s="33" t="str">
        <f aca="false">IF(F458&gt;365,"LTCG","STCG")</f>
        <v>LTCG</v>
      </c>
      <c r="N458" s="47" t="n">
        <f aca="false">IF(M458="LTCG",Assumptions!$C$12,Assumptions!$C$11)</f>
        <v>0.125</v>
      </c>
      <c r="O458" s="33" t="str">
        <f aca="false">IF(M458="STCG",MAX(L458,0)*Assumptions!$C$11,"agg. below")</f>
        <v>agg. below</v>
      </c>
    </row>
    <row r="459" customFormat="false" ht="15" hidden="false" customHeight="false" outlineLevel="1" collapsed="false">
      <c r="A459" s="38" t="str">
        <f aca="false">TEXT(SIP_Fund2_HDFCMidcap!B78,"mmm-yyyy")</f>
        <v>Feb-2031</v>
      </c>
      <c r="B459" s="39" t="n">
        <f aca="false">SIP_Fund2_HDFCMidcap!B78</f>
        <v>47880</v>
      </c>
      <c r="C459" s="40" t="n">
        <f aca="false">SIP_Fund2_HDFCMidcap!C78</f>
        <v>9000</v>
      </c>
      <c r="D459" s="41" t="n">
        <f aca="false">SIP_Fund2_HDFCMidcap!H78</f>
        <v>363.556438321588</v>
      </c>
      <c r="E459" s="42" t="n">
        <f aca="false">SIP_Fund2_HDFCMidcap!I78</f>
        <v>24.7554411126642</v>
      </c>
      <c r="F459" s="38" t="n">
        <f aca="false">Assumptions!$C$5-B459</f>
        <v>1809</v>
      </c>
      <c r="G459" s="41" t="n">
        <f aca="false">Assumptions!$D$22*(1+Assumptions!$F$22)^((Assumptions!$C$5-Assumptions!$C$4)/365)</f>
        <v>681.584366566089</v>
      </c>
      <c r="H459" s="40" t="n">
        <f aca="false">E459*G459</f>
        <v>16872.9216498393</v>
      </c>
      <c r="I459" s="48" t="n">
        <f aca="false">IF(F459&lt;365,Assumptions!$G$22,IF(F459&lt;=730,Assumptions!$H$22,Assumptions!$I$22))</f>
        <v>0</v>
      </c>
      <c r="J459" s="40" t="n">
        <f aca="false">H459*I459</f>
        <v>0</v>
      </c>
      <c r="K459" s="40" t="n">
        <f aca="false">H459-J459</f>
        <v>16872.9216498393</v>
      </c>
      <c r="L459" s="40" t="n">
        <f aca="false">K459-C459</f>
        <v>7872.92164983932</v>
      </c>
      <c r="M459" s="38" t="str">
        <f aca="false">IF(F459&gt;365,"LTCG","STCG")</f>
        <v>LTCG</v>
      </c>
      <c r="N459" s="48" t="n">
        <f aca="false">IF(M459="LTCG",Assumptions!$C$12,Assumptions!$C$11)</f>
        <v>0.125</v>
      </c>
      <c r="O459" s="38" t="str">
        <f aca="false">IF(M459="STCG",MAX(L459,0)*Assumptions!$C$11,"agg. below")</f>
        <v>agg. below</v>
      </c>
    </row>
    <row r="460" customFormat="false" ht="15" hidden="false" customHeight="false" outlineLevel="1" collapsed="false">
      <c r="A460" s="33" t="str">
        <f aca="false">TEXT(SIP_Fund2_HDFCMidcap!B79,"mmm-yyyy")</f>
        <v>Mar-2031</v>
      </c>
      <c r="B460" s="34" t="n">
        <f aca="false">SIP_Fund2_HDFCMidcap!B79</f>
        <v>47908</v>
      </c>
      <c r="C460" s="35" t="n">
        <f aca="false">SIP_Fund2_HDFCMidcap!C79</f>
        <v>9000</v>
      </c>
      <c r="D460" s="36" t="n">
        <f aca="false">SIP_Fund2_HDFCMidcap!H79</f>
        <v>367.110300962463</v>
      </c>
      <c r="E460" s="37" t="n">
        <f aca="false">SIP_Fund2_HDFCMidcap!I79</f>
        <v>24.5157926007646</v>
      </c>
      <c r="F460" s="33" t="n">
        <f aca="false">Assumptions!$C$5-B460</f>
        <v>1781</v>
      </c>
      <c r="G460" s="36" t="n">
        <f aca="false">Assumptions!$D$22*(1+Assumptions!$F$22)^((Assumptions!$C$5-Assumptions!$C$4)/365)</f>
        <v>681.584366566089</v>
      </c>
      <c r="H460" s="35" t="n">
        <f aca="false">E460*G460</f>
        <v>16709.5809706577</v>
      </c>
      <c r="I460" s="47" t="n">
        <f aca="false">IF(F460&lt;365,Assumptions!$G$22,IF(F460&lt;=730,Assumptions!$H$22,Assumptions!$I$22))</f>
        <v>0</v>
      </c>
      <c r="J460" s="35" t="n">
        <f aca="false">H460*I460</f>
        <v>0</v>
      </c>
      <c r="K460" s="35" t="n">
        <f aca="false">H460-J460</f>
        <v>16709.5809706577</v>
      </c>
      <c r="L460" s="35" t="n">
        <f aca="false">K460-C460</f>
        <v>7709.58097065773</v>
      </c>
      <c r="M460" s="33" t="str">
        <f aca="false">IF(F460&gt;365,"LTCG","STCG")</f>
        <v>LTCG</v>
      </c>
      <c r="N460" s="47" t="n">
        <f aca="false">IF(M460="LTCG",Assumptions!$C$12,Assumptions!$C$11)</f>
        <v>0.125</v>
      </c>
      <c r="O460" s="33" t="str">
        <f aca="false">IF(M460="STCG",MAX(L460,0)*Assumptions!$C$11,"agg. below")</f>
        <v>agg. below</v>
      </c>
    </row>
    <row r="461" customFormat="false" ht="15" hidden="false" customHeight="false" outlineLevel="1" collapsed="false">
      <c r="A461" s="38" t="str">
        <f aca="false">TEXT(SIP_Fund2_HDFCMidcap!B80,"mmm-yyyy")</f>
        <v>Apr-2031</v>
      </c>
      <c r="B461" s="39" t="n">
        <f aca="false">SIP_Fund2_HDFCMidcap!B80</f>
        <v>47939</v>
      </c>
      <c r="C461" s="40" t="n">
        <f aca="false">SIP_Fund2_HDFCMidcap!C80</f>
        <v>9000</v>
      </c>
      <c r="D461" s="41" t="n">
        <f aca="false">SIP_Fund2_HDFCMidcap!H80</f>
        <v>371.085471296445</v>
      </c>
      <c r="E461" s="42" t="n">
        <f aca="false">SIP_Fund2_HDFCMidcap!I80</f>
        <v>24.2531726412168</v>
      </c>
      <c r="F461" s="38" t="n">
        <f aca="false">Assumptions!$C$5-B461</f>
        <v>1750</v>
      </c>
      <c r="G461" s="41" t="n">
        <f aca="false">Assumptions!$D$22*(1+Assumptions!$F$22)^((Assumptions!$C$5-Assumptions!$C$4)/365)</f>
        <v>681.584366566089</v>
      </c>
      <c r="H461" s="40" t="n">
        <f aca="false">E461*G461</f>
        <v>16530.5833118818</v>
      </c>
      <c r="I461" s="48" t="n">
        <f aca="false">IF(F461&lt;365,Assumptions!$G$22,IF(F461&lt;=730,Assumptions!$H$22,Assumptions!$I$22))</f>
        <v>0</v>
      </c>
      <c r="J461" s="40" t="n">
        <f aca="false">H461*I461</f>
        <v>0</v>
      </c>
      <c r="K461" s="40" t="n">
        <f aca="false">H461-J461</f>
        <v>16530.5833118818</v>
      </c>
      <c r="L461" s="40" t="n">
        <f aca="false">K461-C461</f>
        <v>7530.58331188178</v>
      </c>
      <c r="M461" s="38" t="str">
        <f aca="false">IF(F461&gt;365,"LTCG","STCG")</f>
        <v>LTCG</v>
      </c>
      <c r="N461" s="48" t="n">
        <f aca="false">IF(M461="LTCG",Assumptions!$C$12,Assumptions!$C$11)</f>
        <v>0.125</v>
      </c>
      <c r="O461" s="38" t="str">
        <f aca="false">IF(M461="STCG",MAX(L461,0)*Assumptions!$C$11,"agg. below")</f>
        <v>agg. below</v>
      </c>
    </row>
    <row r="462" customFormat="false" ht="15" hidden="false" customHeight="false" outlineLevel="1" collapsed="false">
      <c r="A462" s="33" t="str">
        <f aca="false">TEXT(SIP_Fund2_HDFCMidcap!B81,"mmm-yyyy")</f>
        <v>May-2031</v>
      </c>
      <c r="B462" s="34" t="n">
        <f aca="false">SIP_Fund2_HDFCMidcap!B81</f>
        <v>47969</v>
      </c>
      <c r="C462" s="35" t="n">
        <f aca="false">SIP_Fund2_HDFCMidcap!C81</f>
        <v>9000</v>
      </c>
      <c r="D462" s="36" t="n">
        <f aca="false">SIP_Fund2_HDFCMidcap!H81</f>
        <v>374.973389408241</v>
      </c>
      <c r="E462" s="37" t="n">
        <f aca="false">SIP_Fund2_HDFCMidcap!I81</f>
        <v>24.0017031987343</v>
      </c>
      <c r="F462" s="33" t="n">
        <f aca="false">Assumptions!$C$5-B462</f>
        <v>1720</v>
      </c>
      <c r="G462" s="36" t="n">
        <f aca="false">Assumptions!$D$22*(1+Assumptions!$F$22)^((Assumptions!$C$5-Assumptions!$C$4)/365)</f>
        <v>681.584366566089</v>
      </c>
      <c r="H462" s="35" t="n">
        <f aca="false">E462*G462</f>
        <v>16359.1856712166</v>
      </c>
      <c r="I462" s="47" t="n">
        <f aca="false">IF(F462&lt;365,Assumptions!$G$22,IF(F462&lt;=730,Assumptions!$H$22,Assumptions!$I$22))</f>
        <v>0</v>
      </c>
      <c r="J462" s="35" t="n">
        <f aca="false">H462*I462</f>
        <v>0</v>
      </c>
      <c r="K462" s="35" t="n">
        <f aca="false">H462-J462</f>
        <v>16359.1856712166</v>
      </c>
      <c r="L462" s="35" t="n">
        <f aca="false">K462-C462</f>
        <v>7359.18567121656</v>
      </c>
      <c r="M462" s="33" t="str">
        <f aca="false">IF(F462&gt;365,"LTCG","STCG")</f>
        <v>LTCG</v>
      </c>
      <c r="N462" s="47" t="n">
        <f aca="false">IF(M462="LTCG",Assumptions!$C$12,Assumptions!$C$11)</f>
        <v>0.125</v>
      </c>
      <c r="O462" s="33" t="str">
        <f aca="false">IF(M462="STCG",MAX(L462,0)*Assumptions!$C$11,"agg. below")</f>
        <v>agg. below</v>
      </c>
    </row>
    <row r="463" customFormat="false" ht="15" hidden="false" customHeight="false" outlineLevel="1" collapsed="false">
      <c r="A463" s="38" t="str">
        <f aca="false">TEXT(SIP_Fund2_HDFCMidcap!B82,"mmm-yyyy")</f>
        <v>Jun-2031</v>
      </c>
      <c r="B463" s="39" t="n">
        <f aca="false">SIP_Fund2_HDFCMidcap!B82</f>
        <v>48000</v>
      </c>
      <c r="C463" s="40" t="n">
        <f aca="false">SIP_Fund2_HDFCMidcap!C82</f>
        <v>9000</v>
      </c>
      <c r="D463" s="41" t="n">
        <f aca="false">SIP_Fund2_HDFCMidcap!H82</f>
        <v>379.033703405698</v>
      </c>
      <c r="E463" s="42" t="n">
        <f aca="false">SIP_Fund2_HDFCMidcap!I82</f>
        <v>23.7445903072289</v>
      </c>
      <c r="F463" s="38" t="n">
        <f aca="false">Assumptions!$C$5-B463</f>
        <v>1689</v>
      </c>
      <c r="G463" s="41" t="n">
        <f aca="false">Assumptions!$D$22*(1+Assumptions!$F$22)^((Assumptions!$C$5-Assumptions!$C$4)/365)</f>
        <v>681.584366566089</v>
      </c>
      <c r="H463" s="40" t="n">
        <f aca="false">E463*G463</f>
        <v>16183.9415439239</v>
      </c>
      <c r="I463" s="48" t="n">
        <f aca="false">IF(F463&lt;365,Assumptions!$G$22,IF(F463&lt;=730,Assumptions!$H$22,Assumptions!$I$22))</f>
        <v>0</v>
      </c>
      <c r="J463" s="40" t="n">
        <f aca="false">H463*I463</f>
        <v>0</v>
      </c>
      <c r="K463" s="40" t="n">
        <f aca="false">H463-J463</f>
        <v>16183.9415439239</v>
      </c>
      <c r="L463" s="40" t="n">
        <f aca="false">K463-C463</f>
        <v>7183.9415439239</v>
      </c>
      <c r="M463" s="38" t="str">
        <f aca="false">IF(F463&gt;365,"LTCG","STCG")</f>
        <v>LTCG</v>
      </c>
      <c r="N463" s="48" t="n">
        <f aca="false">IF(M463="LTCG",Assumptions!$C$12,Assumptions!$C$11)</f>
        <v>0.125</v>
      </c>
      <c r="O463" s="38" t="str">
        <f aca="false">IF(M463="STCG",MAX(L463,0)*Assumptions!$C$11,"agg. below")</f>
        <v>agg. below</v>
      </c>
    </row>
    <row r="464" customFormat="false" ht="15" hidden="false" customHeight="false" outlineLevel="1" collapsed="false">
      <c r="A464" s="33" t="str">
        <f aca="false">TEXT(SIP_Fund2_HDFCMidcap!B83,"mmm-yyyy")</f>
        <v>Jul-2031</v>
      </c>
      <c r="B464" s="34" t="n">
        <f aca="false">SIP_Fund2_HDFCMidcap!B83</f>
        <v>48030</v>
      </c>
      <c r="C464" s="35" t="n">
        <f aca="false">SIP_Fund2_HDFCMidcap!C83</f>
        <v>9000</v>
      </c>
      <c r="D464" s="36" t="n">
        <f aca="false">SIP_Fund2_HDFCMidcap!H83</f>
        <v>383.004896336813</v>
      </c>
      <c r="E464" s="37" t="n">
        <f aca="false">SIP_Fund2_HDFCMidcap!I83</f>
        <v>23.4983941095245</v>
      </c>
      <c r="F464" s="33" t="n">
        <f aca="false">Assumptions!$C$5-B464</f>
        <v>1659</v>
      </c>
      <c r="G464" s="36" t="n">
        <f aca="false">Assumptions!$D$22*(1+Assumptions!$F$22)^((Assumptions!$C$5-Assumptions!$C$4)/365)</f>
        <v>681.584366566089</v>
      </c>
      <c r="H464" s="35" t="n">
        <f aca="false">E464*G464</f>
        <v>16016.1380644606</v>
      </c>
      <c r="I464" s="47" t="n">
        <f aca="false">IF(F464&lt;365,Assumptions!$G$22,IF(F464&lt;=730,Assumptions!$H$22,Assumptions!$I$22))</f>
        <v>0</v>
      </c>
      <c r="J464" s="35" t="n">
        <f aca="false">H464*I464</f>
        <v>0</v>
      </c>
      <c r="K464" s="35" t="n">
        <f aca="false">H464-J464</f>
        <v>16016.1380644606</v>
      </c>
      <c r="L464" s="35" t="n">
        <f aca="false">K464-C464</f>
        <v>7016.13806446056</v>
      </c>
      <c r="M464" s="33" t="str">
        <f aca="false">IF(F464&gt;365,"LTCG","STCG")</f>
        <v>LTCG</v>
      </c>
      <c r="N464" s="47" t="n">
        <f aca="false">IF(M464="LTCG",Assumptions!$C$12,Assumptions!$C$11)</f>
        <v>0.125</v>
      </c>
      <c r="O464" s="33" t="str">
        <f aca="false">IF(M464="STCG",MAX(L464,0)*Assumptions!$C$11,"agg. below")</f>
        <v>agg. below</v>
      </c>
    </row>
    <row r="465" customFormat="false" ht="15" hidden="false" customHeight="false" outlineLevel="1" collapsed="false">
      <c r="A465" s="38" t="str">
        <f aca="false">TEXT(SIP_Fund2_HDFCMidcap!B84,"mmm-yyyy")</f>
        <v>Aug-2031</v>
      </c>
      <c r="B465" s="39" t="n">
        <f aca="false">SIP_Fund2_HDFCMidcap!B84</f>
        <v>48061</v>
      </c>
      <c r="C465" s="40" t="n">
        <f aca="false">SIP_Fund2_HDFCMidcap!C84</f>
        <v>9000</v>
      </c>
      <c r="D465" s="41" t="n">
        <f aca="false">SIP_Fund2_HDFCMidcap!H84</f>
        <v>387.15217767895</v>
      </c>
      <c r="E465" s="42" t="n">
        <f aca="false">SIP_Fund2_HDFCMidcap!I84</f>
        <v>23.2466728043652</v>
      </c>
      <c r="F465" s="38" t="n">
        <f aca="false">Assumptions!$C$5-B465</f>
        <v>1628</v>
      </c>
      <c r="G465" s="41" t="n">
        <f aca="false">Assumptions!$D$22*(1+Assumptions!$F$22)^((Assumptions!$C$5-Assumptions!$C$4)/365)</f>
        <v>681.584366566089</v>
      </c>
      <c r="H465" s="40" t="n">
        <f aca="false">E465*G465</f>
        <v>15844.5687581324</v>
      </c>
      <c r="I465" s="48" t="n">
        <f aca="false">IF(F465&lt;365,Assumptions!$G$22,IF(F465&lt;=730,Assumptions!$H$22,Assumptions!$I$22))</f>
        <v>0</v>
      </c>
      <c r="J465" s="40" t="n">
        <f aca="false">H465*I465</f>
        <v>0</v>
      </c>
      <c r="K465" s="40" t="n">
        <f aca="false">H465-J465</f>
        <v>15844.5687581324</v>
      </c>
      <c r="L465" s="40" t="n">
        <f aca="false">K465-C465</f>
        <v>6844.56875813235</v>
      </c>
      <c r="M465" s="38" t="str">
        <f aca="false">IF(F465&gt;365,"LTCG","STCG")</f>
        <v>LTCG</v>
      </c>
      <c r="N465" s="48" t="n">
        <f aca="false">IF(M465="LTCG",Assumptions!$C$12,Assumptions!$C$11)</f>
        <v>0.125</v>
      </c>
      <c r="O465" s="38" t="str">
        <f aca="false">IF(M465="STCG",MAX(L465,0)*Assumptions!$C$11,"agg. below")</f>
        <v>agg. below</v>
      </c>
    </row>
    <row r="466" customFormat="false" ht="15" hidden="false" customHeight="false" outlineLevel="1" collapsed="false">
      <c r="A466" s="33" t="str">
        <f aca="false">TEXT(SIP_Fund2_HDFCMidcap!B85,"mmm-yyyy")</f>
        <v>Sep-2031</v>
      </c>
      <c r="B466" s="34" t="n">
        <f aca="false">SIP_Fund2_HDFCMidcap!B85</f>
        <v>48092</v>
      </c>
      <c r="C466" s="35" t="n">
        <f aca="false">SIP_Fund2_HDFCMidcap!C85</f>
        <v>9000</v>
      </c>
      <c r="D466" s="36" t="n">
        <f aca="false">SIP_Fund2_HDFCMidcap!H85</f>
        <v>391.344366913116</v>
      </c>
      <c r="E466" s="37" t="n">
        <f aca="false">SIP_Fund2_HDFCMidcap!I85</f>
        <v>22.9976480075364</v>
      </c>
      <c r="F466" s="33" t="n">
        <f aca="false">Assumptions!$C$5-B466</f>
        <v>1597</v>
      </c>
      <c r="G466" s="36" t="n">
        <f aca="false">Assumptions!$D$22*(1+Assumptions!$F$22)^((Assumptions!$C$5-Assumptions!$C$4)/365)</f>
        <v>681.584366566089</v>
      </c>
      <c r="H466" s="35" t="n">
        <f aca="false">E466*G466</f>
        <v>15674.8373497266</v>
      </c>
      <c r="I466" s="47" t="n">
        <f aca="false">IF(F466&lt;365,Assumptions!$G$22,IF(F466&lt;=730,Assumptions!$H$22,Assumptions!$I$22))</f>
        <v>0</v>
      </c>
      <c r="J466" s="35" t="n">
        <f aca="false">H466*I466</f>
        <v>0</v>
      </c>
      <c r="K466" s="35" t="n">
        <f aca="false">H466-J466</f>
        <v>15674.8373497266</v>
      </c>
      <c r="L466" s="35" t="n">
        <f aca="false">K466-C466</f>
        <v>6674.83734972656</v>
      </c>
      <c r="M466" s="33" t="str">
        <f aca="false">IF(F466&gt;365,"LTCG","STCG")</f>
        <v>LTCG</v>
      </c>
      <c r="N466" s="47" t="n">
        <f aca="false">IF(M466="LTCG",Assumptions!$C$12,Assumptions!$C$11)</f>
        <v>0.125</v>
      </c>
      <c r="O466" s="33" t="str">
        <f aca="false">IF(M466="STCG",MAX(L466,0)*Assumptions!$C$11,"agg. below")</f>
        <v>agg. below</v>
      </c>
    </row>
    <row r="467" customFormat="false" ht="15" hidden="false" customHeight="false" outlineLevel="1" collapsed="false">
      <c r="A467" s="38" t="str">
        <f aca="false">TEXT(SIP_Fund2_HDFCMidcap!B86,"mmm-yyyy")</f>
        <v>Oct-2031</v>
      </c>
      <c r="B467" s="39" t="n">
        <f aca="false">SIP_Fund2_HDFCMidcap!B86</f>
        <v>48122</v>
      </c>
      <c r="C467" s="40" t="n">
        <f aca="false">SIP_Fund2_HDFCMidcap!C86</f>
        <v>9000</v>
      </c>
      <c r="D467" s="41" t="n">
        <f aca="false">SIP_Fund2_HDFCMidcap!H86</f>
        <v>395.444540511276</v>
      </c>
      <c r="E467" s="42" t="n">
        <f aca="false">SIP_Fund2_HDFCMidcap!I86</f>
        <v>22.7591964940615</v>
      </c>
      <c r="F467" s="38" t="n">
        <f aca="false">Assumptions!$C$5-B467</f>
        <v>1567</v>
      </c>
      <c r="G467" s="41" t="n">
        <f aca="false">Assumptions!$D$22*(1+Assumptions!$F$22)^((Assumptions!$C$5-Assumptions!$C$4)/365)</f>
        <v>681.584366566089</v>
      </c>
      <c r="H467" s="40" t="n">
        <f aca="false">E467*G467</f>
        <v>15512.3125259581</v>
      </c>
      <c r="I467" s="48" t="n">
        <f aca="false">IF(F467&lt;365,Assumptions!$G$22,IF(F467&lt;=730,Assumptions!$H$22,Assumptions!$I$22))</f>
        <v>0</v>
      </c>
      <c r="J467" s="40" t="n">
        <f aca="false">H467*I467</f>
        <v>0</v>
      </c>
      <c r="K467" s="40" t="n">
        <f aca="false">H467-J467</f>
        <v>15512.3125259581</v>
      </c>
      <c r="L467" s="40" t="n">
        <f aca="false">K467-C467</f>
        <v>6512.31252595806</v>
      </c>
      <c r="M467" s="38" t="str">
        <f aca="false">IF(F467&gt;365,"LTCG","STCG")</f>
        <v>LTCG</v>
      </c>
      <c r="N467" s="48" t="n">
        <f aca="false">IF(M467="LTCG",Assumptions!$C$12,Assumptions!$C$11)</f>
        <v>0.125</v>
      </c>
      <c r="O467" s="38" t="str">
        <f aca="false">IF(M467="STCG",MAX(L467,0)*Assumptions!$C$11,"agg. below")</f>
        <v>agg. below</v>
      </c>
    </row>
    <row r="468" customFormat="false" ht="15" hidden="false" customHeight="false" outlineLevel="1" collapsed="false">
      <c r="A468" s="33" t="str">
        <f aca="false">TEXT(SIP_Fund2_HDFCMidcap!B87,"mmm-yyyy")</f>
        <v>Nov-2031</v>
      </c>
      <c r="B468" s="34" t="n">
        <f aca="false">SIP_Fund2_HDFCMidcap!B87</f>
        <v>48153</v>
      </c>
      <c r="C468" s="35" t="n">
        <f aca="false">SIP_Fund2_HDFCMidcap!C87</f>
        <v>9000</v>
      </c>
      <c r="D468" s="36" t="n">
        <f aca="false">SIP_Fund2_HDFCMidcap!H87</f>
        <v>399.726521708901</v>
      </c>
      <c r="E468" s="37" t="n">
        <f aca="false">SIP_Fund2_HDFCMidcap!I87</f>
        <v>22.5153936784665</v>
      </c>
      <c r="F468" s="33" t="n">
        <f aca="false">Assumptions!$C$5-B468</f>
        <v>1536</v>
      </c>
      <c r="G468" s="36" t="n">
        <f aca="false">Assumptions!$D$22*(1+Assumptions!$F$22)^((Assumptions!$C$5-Assumptions!$C$4)/365)</f>
        <v>681.584366566089</v>
      </c>
      <c r="H468" s="35" t="n">
        <f aca="false">E468*G468</f>
        <v>15346.1403383237</v>
      </c>
      <c r="I468" s="47" t="n">
        <f aca="false">IF(F468&lt;365,Assumptions!$G$22,IF(F468&lt;=730,Assumptions!$H$22,Assumptions!$I$22))</f>
        <v>0</v>
      </c>
      <c r="J468" s="35" t="n">
        <f aca="false">H468*I468</f>
        <v>0</v>
      </c>
      <c r="K468" s="35" t="n">
        <f aca="false">H468-J468</f>
        <v>15346.1403383237</v>
      </c>
      <c r="L468" s="35" t="n">
        <f aca="false">K468-C468</f>
        <v>6346.14033832372</v>
      </c>
      <c r="M468" s="33" t="str">
        <f aca="false">IF(F468&gt;365,"LTCG","STCG")</f>
        <v>LTCG</v>
      </c>
      <c r="N468" s="47" t="n">
        <f aca="false">IF(M468="LTCG",Assumptions!$C$12,Assumptions!$C$11)</f>
        <v>0.125</v>
      </c>
      <c r="O468" s="33" t="str">
        <f aca="false">IF(M468="STCG",MAX(L468,0)*Assumptions!$C$11,"agg. below")</f>
        <v>agg. below</v>
      </c>
    </row>
    <row r="469" customFormat="false" ht="15" hidden="false" customHeight="false" outlineLevel="1" collapsed="false">
      <c r="A469" s="38" t="str">
        <f aca="false">TEXT(SIP_Fund2_HDFCMidcap!B88,"mmm-yyyy")</f>
        <v>Dec-2031</v>
      </c>
      <c r="B469" s="39" t="n">
        <f aca="false">SIP_Fund2_HDFCMidcap!B88</f>
        <v>48183</v>
      </c>
      <c r="C469" s="40" t="n">
        <f aca="false">SIP_Fund2_HDFCMidcap!C88</f>
        <v>9000</v>
      </c>
      <c r="D469" s="41" t="n">
        <f aca="false">SIP_Fund2_HDFCMidcap!H88</f>
        <v>403.914516399417</v>
      </c>
      <c r="E469" s="42" t="n">
        <f aca="false">SIP_Fund2_HDFCMidcap!I88</f>
        <v>22.2819424273928</v>
      </c>
      <c r="F469" s="38" t="n">
        <f aca="false">Assumptions!$C$5-B469</f>
        <v>1506</v>
      </c>
      <c r="G469" s="41" t="n">
        <f aca="false">Assumptions!$D$22*(1+Assumptions!$F$22)^((Assumptions!$C$5-Assumptions!$C$4)/365)</f>
        <v>681.584366566089</v>
      </c>
      <c r="H469" s="40" t="n">
        <f aca="false">E469*G469</f>
        <v>15187.0236152366</v>
      </c>
      <c r="I469" s="48" t="n">
        <f aca="false">IF(F469&lt;365,Assumptions!$G$22,IF(F469&lt;=730,Assumptions!$H$22,Assumptions!$I$22))</f>
        <v>0</v>
      </c>
      <c r="J469" s="40" t="n">
        <f aca="false">H469*I469</f>
        <v>0</v>
      </c>
      <c r="K469" s="40" t="n">
        <f aca="false">H469-J469</f>
        <v>15187.0236152366</v>
      </c>
      <c r="L469" s="40" t="n">
        <f aca="false">K469-C469</f>
        <v>6187.02361523655</v>
      </c>
      <c r="M469" s="38" t="str">
        <f aca="false">IF(F469&gt;365,"LTCG","STCG")</f>
        <v>LTCG</v>
      </c>
      <c r="N469" s="48" t="n">
        <f aca="false">IF(M469="LTCG",Assumptions!$C$12,Assumptions!$C$11)</f>
        <v>0.125</v>
      </c>
      <c r="O469" s="38" t="str">
        <f aca="false">IF(M469="STCG",MAX(L469,0)*Assumptions!$C$11,"agg. below")</f>
        <v>agg. below</v>
      </c>
    </row>
    <row r="470" customFormat="false" ht="15" hidden="false" customHeight="false" outlineLevel="1" collapsed="false">
      <c r="A470" s="33" t="str">
        <f aca="false">TEXT(SIP_Fund2_HDFCMidcap!B89,"mmm-yyyy")</f>
        <v>Jan-2032</v>
      </c>
      <c r="B470" s="34" t="n">
        <f aca="false">SIP_Fund2_HDFCMidcap!B89</f>
        <v>48214</v>
      </c>
      <c r="C470" s="35" t="n">
        <f aca="false">SIP_Fund2_HDFCMidcap!C89</f>
        <v>10000</v>
      </c>
      <c r="D470" s="36" t="n">
        <f aca="false">SIP_Fund2_HDFCMidcap!H89</f>
        <v>408.288212803049</v>
      </c>
      <c r="E470" s="37" t="n">
        <f aca="false">SIP_Fund2_HDFCMidcap!I89</f>
        <v>24.4925023216965</v>
      </c>
      <c r="F470" s="33" t="n">
        <f aca="false">Assumptions!$C$5-B470</f>
        <v>1475</v>
      </c>
      <c r="G470" s="36" t="n">
        <f aca="false">Assumptions!$D$22*(1+Assumptions!$F$22)^((Assumptions!$C$5-Assumptions!$C$4)/365)</f>
        <v>681.584366566089</v>
      </c>
      <c r="H470" s="35" t="n">
        <f aca="false">E470*G470</f>
        <v>16693.706680552</v>
      </c>
      <c r="I470" s="47" t="n">
        <f aca="false">IF(F470&lt;365,Assumptions!$G$22,IF(F470&lt;=730,Assumptions!$H$22,Assumptions!$I$22))</f>
        <v>0</v>
      </c>
      <c r="J470" s="35" t="n">
        <f aca="false">H470*I470</f>
        <v>0</v>
      </c>
      <c r="K470" s="35" t="n">
        <f aca="false">H470-J470</f>
        <v>16693.706680552</v>
      </c>
      <c r="L470" s="35" t="n">
        <f aca="false">K470-C470</f>
        <v>6693.70668055198</v>
      </c>
      <c r="M470" s="33" t="str">
        <f aca="false">IF(F470&gt;365,"LTCG","STCG")</f>
        <v>LTCG</v>
      </c>
      <c r="N470" s="47" t="n">
        <f aca="false">IF(M470="LTCG",Assumptions!$C$12,Assumptions!$C$11)</f>
        <v>0.125</v>
      </c>
      <c r="O470" s="33" t="str">
        <f aca="false">IF(M470="STCG",MAX(L470,0)*Assumptions!$C$11,"agg. below")</f>
        <v>agg. below</v>
      </c>
    </row>
    <row r="471" customFormat="false" ht="15" hidden="false" customHeight="false" outlineLevel="1" collapsed="false">
      <c r="A471" s="38" t="str">
        <f aca="false">TEXT(SIP_Fund2_HDFCMidcap!B90,"mmm-yyyy")</f>
        <v>Feb-2032</v>
      </c>
      <c r="B471" s="39" t="n">
        <f aca="false">SIP_Fund2_HDFCMidcap!B90</f>
        <v>48245</v>
      </c>
      <c r="C471" s="40" t="n">
        <f aca="false">SIP_Fund2_HDFCMidcap!C90</f>
        <v>10000</v>
      </c>
      <c r="D471" s="41" t="n">
        <f aca="false">SIP_Fund2_HDFCMidcap!H90</f>
        <v>412.709268782667</v>
      </c>
      <c r="E471" s="42" t="n">
        <f aca="false">SIP_Fund2_HDFCMidcap!I90</f>
        <v>24.230131854068</v>
      </c>
      <c r="F471" s="38" t="n">
        <f aca="false">Assumptions!$C$5-B471</f>
        <v>1444</v>
      </c>
      <c r="G471" s="41" t="n">
        <f aca="false">Assumptions!$D$22*(1+Assumptions!$F$22)^((Assumptions!$C$5-Assumptions!$C$4)/365)</f>
        <v>681.584366566089</v>
      </c>
      <c r="H471" s="40" t="n">
        <f aca="false">E471*G471</f>
        <v>16514.8790715677</v>
      </c>
      <c r="I471" s="48" t="n">
        <f aca="false">IF(F471&lt;365,Assumptions!$G$22,IF(F471&lt;=730,Assumptions!$H$22,Assumptions!$I$22))</f>
        <v>0</v>
      </c>
      <c r="J471" s="40" t="n">
        <f aca="false">H471*I471</f>
        <v>0</v>
      </c>
      <c r="K471" s="40" t="n">
        <f aca="false">H471-J471</f>
        <v>16514.8790715677</v>
      </c>
      <c r="L471" s="40" t="n">
        <f aca="false">K471-C471</f>
        <v>6514.87907156774</v>
      </c>
      <c r="M471" s="38" t="str">
        <f aca="false">IF(F471&gt;365,"LTCG","STCG")</f>
        <v>LTCG</v>
      </c>
      <c r="N471" s="48" t="n">
        <f aca="false">IF(M471="LTCG",Assumptions!$C$12,Assumptions!$C$11)</f>
        <v>0.125</v>
      </c>
      <c r="O471" s="38" t="str">
        <f aca="false">IF(M471="STCG",MAX(L471,0)*Assumptions!$C$11,"agg. below")</f>
        <v>agg. below</v>
      </c>
    </row>
    <row r="472" customFormat="false" ht="15" hidden="false" customHeight="false" outlineLevel="1" collapsed="false">
      <c r="A472" s="33" t="str">
        <f aca="false">TEXT(SIP_Fund2_HDFCMidcap!B91,"mmm-yyyy")</f>
        <v>Mar-2032</v>
      </c>
      <c r="B472" s="34" t="n">
        <f aca="false">SIP_Fund2_HDFCMidcap!B91</f>
        <v>48274</v>
      </c>
      <c r="C472" s="35" t="n">
        <f aca="false">SIP_Fund2_HDFCMidcap!C91</f>
        <v>10000</v>
      </c>
      <c r="D472" s="36" t="n">
        <f aca="false">SIP_Fund2_HDFCMidcap!H91</f>
        <v>416.888424496976</v>
      </c>
      <c r="E472" s="37" t="n">
        <f aca="false">SIP_Fund2_HDFCMidcap!I91</f>
        <v>23.9872335435223</v>
      </c>
      <c r="F472" s="33" t="n">
        <f aca="false">Assumptions!$C$5-B472</f>
        <v>1415</v>
      </c>
      <c r="G472" s="36" t="n">
        <f aca="false">Assumptions!$D$22*(1+Assumptions!$F$22)^((Assumptions!$C$5-Assumptions!$C$4)/365)</f>
        <v>681.584366566089</v>
      </c>
      <c r="H472" s="35" t="n">
        <f aca="false">E472*G472</f>
        <v>16349.3233804345</v>
      </c>
      <c r="I472" s="47" t="n">
        <f aca="false">IF(F472&lt;365,Assumptions!$G$22,IF(F472&lt;=730,Assumptions!$H$22,Assumptions!$I$22))</f>
        <v>0</v>
      </c>
      <c r="J472" s="35" t="n">
        <f aca="false">H472*I472</f>
        <v>0</v>
      </c>
      <c r="K472" s="35" t="n">
        <f aca="false">H472-J472</f>
        <v>16349.3233804345</v>
      </c>
      <c r="L472" s="35" t="n">
        <f aca="false">K472-C472</f>
        <v>6349.32338043446</v>
      </c>
      <c r="M472" s="33" t="str">
        <f aca="false">IF(F472&gt;365,"LTCG","STCG")</f>
        <v>LTCG</v>
      </c>
      <c r="N472" s="47" t="n">
        <f aca="false">IF(M472="LTCG",Assumptions!$C$12,Assumptions!$C$11)</f>
        <v>0.125</v>
      </c>
      <c r="O472" s="33" t="str">
        <f aca="false">IF(M472="STCG",MAX(L472,0)*Assumptions!$C$11,"agg. below")</f>
        <v>agg. below</v>
      </c>
    </row>
    <row r="473" customFormat="false" ht="15" hidden="false" customHeight="false" outlineLevel="1" collapsed="false">
      <c r="A473" s="38" t="str">
        <f aca="false">TEXT(SIP_Fund2_HDFCMidcap!B92,"mmm-yyyy")</f>
        <v>Apr-2032</v>
      </c>
      <c r="B473" s="39" t="n">
        <f aca="false">SIP_Fund2_HDFCMidcap!B92</f>
        <v>48305</v>
      </c>
      <c r="C473" s="40" t="n">
        <f aca="false">SIP_Fund2_HDFCMidcap!C92</f>
        <v>10000</v>
      </c>
      <c r="D473" s="41" t="n">
        <f aca="false">SIP_Fund2_HDFCMidcap!H92</f>
        <v>421.40260591138</v>
      </c>
      <c r="E473" s="42" t="n">
        <f aca="false">SIP_Fund2_HDFCMidcap!I92</f>
        <v>23.7302756549706</v>
      </c>
      <c r="F473" s="38" t="n">
        <f aca="false">Assumptions!$C$5-B473</f>
        <v>1384</v>
      </c>
      <c r="G473" s="41" t="n">
        <f aca="false">Assumptions!$D$22*(1+Assumptions!$F$22)^((Assumptions!$C$5-Assumptions!$C$4)/365)</f>
        <v>681.584366566089</v>
      </c>
      <c r="H473" s="40" t="n">
        <f aca="false">E473*G473</f>
        <v>16174.1849007318</v>
      </c>
      <c r="I473" s="48" t="n">
        <f aca="false">IF(F473&lt;365,Assumptions!$G$22,IF(F473&lt;=730,Assumptions!$H$22,Assumptions!$I$22))</f>
        <v>0</v>
      </c>
      <c r="J473" s="40" t="n">
        <f aca="false">H473*I473</f>
        <v>0</v>
      </c>
      <c r="K473" s="40" t="n">
        <f aca="false">H473-J473</f>
        <v>16174.1849007318</v>
      </c>
      <c r="L473" s="40" t="n">
        <f aca="false">K473-C473</f>
        <v>6174.18490073185</v>
      </c>
      <c r="M473" s="38" t="str">
        <f aca="false">IF(F473&gt;365,"LTCG","STCG")</f>
        <v>LTCG</v>
      </c>
      <c r="N473" s="48" t="n">
        <f aca="false">IF(M473="LTCG",Assumptions!$C$12,Assumptions!$C$11)</f>
        <v>0.125</v>
      </c>
      <c r="O473" s="38" t="str">
        <f aca="false">IF(M473="STCG",MAX(L473,0)*Assumptions!$C$11,"agg. below")</f>
        <v>agg. below</v>
      </c>
    </row>
    <row r="474" customFormat="false" ht="15" hidden="false" customHeight="false" outlineLevel="1" collapsed="false">
      <c r="A474" s="33" t="str">
        <f aca="false">TEXT(SIP_Fund2_HDFCMidcap!B93,"mmm-yyyy")</f>
        <v>May-2032</v>
      </c>
      <c r="B474" s="34" t="n">
        <f aca="false">SIP_Fund2_HDFCMidcap!B93</f>
        <v>48335</v>
      </c>
      <c r="C474" s="35" t="n">
        <f aca="false">SIP_Fund2_HDFCMidcap!C93</f>
        <v>10000</v>
      </c>
      <c r="D474" s="36" t="n">
        <f aca="false">SIP_Fund2_HDFCMidcap!H93</f>
        <v>425.817704185523</v>
      </c>
      <c r="E474" s="37" t="n">
        <f aca="false">SIP_Fund2_HDFCMidcap!I93</f>
        <v>23.4842278789872</v>
      </c>
      <c r="F474" s="33" t="n">
        <f aca="false">Assumptions!$C$5-B474</f>
        <v>1354</v>
      </c>
      <c r="G474" s="36" t="n">
        <f aca="false">Assumptions!$D$22*(1+Assumptions!$F$22)^((Assumptions!$C$5-Assumptions!$C$4)/365)</f>
        <v>681.584366566089</v>
      </c>
      <c r="H474" s="35" t="n">
        <f aca="false">E474*G474</f>
        <v>16006.4825831932</v>
      </c>
      <c r="I474" s="47" t="n">
        <f aca="false">IF(F474&lt;365,Assumptions!$G$22,IF(F474&lt;=730,Assumptions!$H$22,Assumptions!$I$22))</f>
        <v>0</v>
      </c>
      <c r="J474" s="35" t="n">
        <f aca="false">H474*I474</f>
        <v>0</v>
      </c>
      <c r="K474" s="35" t="n">
        <f aca="false">H474-J474</f>
        <v>16006.4825831932</v>
      </c>
      <c r="L474" s="35" t="n">
        <f aca="false">K474-C474</f>
        <v>6006.48258319319</v>
      </c>
      <c r="M474" s="33" t="str">
        <f aca="false">IF(F474&gt;365,"LTCG","STCG")</f>
        <v>LTCG</v>
      </c>
      <c r="N474" s="47" t="n">
        <f aca="false">IF(M474="LTCG",Assumptions!$C$12,Assumptions!$C$11)</f>
        <v>0.125</v>
      </c>
      <c r="O474" s="33" t="str">
        <f aca="false">IF(M474="STCG",MAX(L474,0)*Assumptions!$C$11,"agg. below")</f>
        <v>agg. below</v>
      </c>
    </row>
    <row r="475" customFormat="false" ht="15" hidden="false" customHeight="false" outlineLevel="1" collapsed="false">
      <c r="A475" s="38" t="str">
        <f aca="false">TEXT(SIP_Fund2_HDFCMidcap!B94,"mmm-yyyy")</f>
        <v>Jun-2032</v>
      </c>
      <c r="B475" s="39" t="n">
        <f aca="false">SIP_Fund2_HDFCMidcap!B94</f>
        <v>48366</v>
      </c>
      <c r="C475" s="40" t="n">
        <f aca="false">SIP_Fund2_HDFCMidcap!C94</f>
        <v>10000</v>
      </c>
      <c r="D475" s="41" t="n">
        <f aca="false">SIP_Fund2_HDFCMidcap!H94</f>
        <v>430.428574272593</v>
      </c>
      <c r="E475" s="42" t="n">
        <f aca="false">SIP_Fund2_HDFCMidcap!I94</f>
        <v>23.2326583264125</v>
      </c>
      <c r="F475" s="38" t="n">
        <f aca="false">Assumptions!$C$5-B475</f>
        <v>1323</v>
      </c>
      <c r="G475" s="41" t="n">
        <f aca="false">Assumptions!$D$22*(1+Assumptions!$F$22)^((Assumptions!$C$5-Assumptions!$C$4)/365)</f>
        <v>681.584366566089</v>
      </c>
      <c r="H475" s="40" t="n">
        <f aca="false">E475*G475</f>
        <v>15835.0167090542</v>
      </c>
      <c r="I475" s="48" t="n">
        <f aca="false">IF(F475&lt;365,Assumptions!$G$22,IF(F475&lt;=730,Assumptions!$H$22,Assumptions!$I$22))</f>
        <v>0</v>
      </c>
      <c r="J475" s="40" t="n">
        <f aca="false">H475*I475</f>
        <v>0</v>
      </c>
      <c r="K475" s="40" t="n">
        <f aca="false">H475-J475</f>
        <v>15835.0167090542</v>
      </c>
      <c r="L475" s="40" t="n">
        <f aca="false">K475-C475</f>
        <v>5835.01670905423</v>
      </c>
      <c r="M475" s="38" t="str">
        <f aca="false">IF(F475&gt;365,"LTCG","STCG")</f>
        <v>LTCG</v>
      </c>
      <c r="N475" s="48" t="n">
        <f aca="false">IF(M475="LTCG",Assumptions!$C$12,Assumptions!$C$11)</f>
        <v>0.125</v>
      </c>
      <c r="O475" s="38" t="str">
        <f aca="false">IF(M475="STCG",MAX(L475,0)*Assumptions!$C$11,"agg. below")</f>
        <v>agg. below</v>
      </c>
    </row>
    <row r="476" customFormat="false" ht="15" hidden="false" customHeight="false" outlineLevel="1" collapsed="false">
      <c r="A476" s="33" t="str">
        <f aca="false">TEXT(SIP_Fund2_HDFCMidcap!B95,"mmm-yyyy")</f>
        <v>Jul-2032</v>
      </c>
      <c r="B476" s="34" t="n">
        <f aca="false">SIP_Fund2_HDFCMidcap!B95</f>
        <v>48396</v>
      </c>
      <c r="C476" s="35" t="n">
        <f aca="false">SIP_Fund2_HDFCMidcap!C95</f>
        <v>10000</v>
      </c>
      <c r="D476" s="36" t="n">
        <f aca="false">SIP_Fund2_HDFCMidcap!H95</f>
        <v>434.93823897033</v>
      </c>
      <c r="E476" s="37" t="n">
        <f aca="false">SIP_Fund2_HDFCMidcap!I95</f>
        <v>22.9917701043577</v>
      </c>
      <c r="F476" s="33" t="n">
        <f aca="false">Assumptions!$C$5-B476</f>
        <v>1293</v>
      </c>
      <c r="G476" s="36" t="n">
        <f aca="false">Assumptions!$D$22*(1+Assumptions!$F$22)^((Assumptions!$C$5-Assumptions!$C$4)/365)</f>
        <v>681.584366566089</v>
      </c>
      <c r="H476" s="35" t="n">
        <f aca="false">E476*G476</f>
        <v>15670.8310628118</v>
      </c>
      <c r="I476" s="47" t="n">
        <f aca="false">IF(F476&lt;365,Assumptions!$G$22,IF(F476&lt;=730,Assumptions!$H$22,Assumptions!$I$22))</f>
        <v>0</v>
      </c>
      <c r="J476" s="35" t="n">
        <f aca="false">H476*I476</f>
        <v>0</v>
      </c>
      <c r="K476" s="35" t="n">
        <f aca="false">H476-J476</f>
        <v>15670.8310628118</v>
      </c>
      <c r="L476" s="35" t="n">
        <f aca="false">K476-C476</f>
        <v>5670.83106281177</v>
      </c>
      <c r="M476" s="33" t="str">
        <f aca="false">IF(F476&gt;365,"LTCG","STCG")</f>
        <v>LTCG</v>
      </c>
      <c r="N476" s="47" t="n">
        <f aca="false">IF(M476="LTCG",Assumptions!$C$12,Assumptions!$C$11)</f>
        <v>0.125</v>
      </c>
      <c r="O476" s="33" t="str">
        <f aca="false">IF(M476="STCG",MAX(L476,0)*Assumptions!$C$11,"agg. below")</f>
        <v>agg. below</v>
      </c>
    </row>
    <row r="477" customFormat="false" ht="15" hidden="false" customHeight="false" outlineLevel="1" collapsed="false">
      <c r="A477" s="38" t="str">
        <f aca="false">TEXT(SIP_Fund2_HDFCMidcap!B96,"mmm-yyyy")</f>
        <v>Aug-2032</v>
      </c>
      <c r="B477" s="39" t="n">
        <f aca="false">SIP_Fund2_HDFCMidcap!B96</f>
        <v>48427</v>
      </c>
      <c r="C477" s="40" t="n">
        <f aca="false">SIP_Fund2_HDFCMidcap!C96</f>
        <v>10000</v>
      </c>
      <c r="D477" s="41" t="n">
        <f aca="false">SIP_Fund2_HDFCMidcap!H96</f>
        <v>439.647868692341</v>
      </c>
      <c r="E477" s="42" t="n">
        <f aca="false">SIP_Fund2_HDFCMidcap!I96</f>
        <v>22.7454758958421</v>
      </c>
      <c r="F477" s="38" t="n">
        <f aca="false">Assumptions!$C$5-B477</f>
        <v>1262</v>
      </c>
      <c r="G477" s="41" t="n">
        <f aca="false">Assumptions!$D$22*(1+Assumptions!$F$22)^((Assumptions!$C$5-Assumptions!$C$4)/365)</f>
        <v>681.584366566089</v>
      </c>
      <c r="H477" s="40" t="n">
        <f aca="false">E477*G477</f>
        <v>15502.9607807118</v>
      </c>
      <c r="I477" s="48" t="n">
        <f aca="false">IF(F477&lt;365,Assumptions!$G$22,IF(F477&lt;=730,Assumptions!$H$22,Assumptions!$I$22))</f>
        <v>0</v>
      </c>
      <c r="J477" s="40" t="n">
        <f aca="false">H477*I477</f>
        <v>0</v>
      </c>
      <c r="K477" s="40" t="n">
        <f aca="false">H477-J477</f>
        <v>15502.9607807118</v>
      </c>
      <c r="L477" s="40" t="n">
        <f aca="false">K477-C477</f>
        <v>5502.96078071178</v>
      </c>
      <c r="M477" s="38" t="str">
        <f aca="false">IF(F477&gt;365,"LTCG","STCG")</f>
        <v>LTCG</v>
      </c>
      <c r="N477" s="48" t="n">
        <f aca="false">IF(M477="LTCG",Assumptions!$C$12,Assumptions!$C$11)</f>
        <v>0.125</v>
      </c>
      <c r="O477" s="38" t="str">
        <f aca="false">IF(M477="STCG",MAX(L477,0)*Assumptions!$C$11,"agg. below")</f>
        <v>agg. below</v>
      </c>
    </row>
    <row r="478" customFormat="false" ht="15" hidden="false" customHeight="false" outlineLevel="1" collapsed="false">
      <c r="A478" s="33" t="str">
        <f aca="false">TEXT(SIP_Fund2_HDFCMidcap!B97,"mmm-yyyy")</f>
        <v>Sep-2032</v>
      </c>
      <c r="B478" s="34" t="n">
        <f aca="false">SIP_Fund2_HDFCMidcap!B97</f>
        <v>48458</v>
      </c>
      <c r="C478" s="35" t="n">
        <f aca="false">SIP_Fund2_HDFCMidcap!C97</f>
        <v>10000</v>
      </c>
      <c r="D478" s="36" t="n">
        <f aca="false">SIP_Fund2_HDFCMidcap!H97</f>
        <v>444.408495567813</v>
      </c>
      <c r="E478" s="37" t="n">
        <f aca="false">SIP_Fund2_HDFCMidcap!I97</f>
        <v>22.5018200590949</v>
      </c>
      <c r="F478" s="33" t="n">
        <f aca="false">Assumptions!$C$5-B478</f>
        <v>1231</v>
      </c>
      <c r="G478" s="36" t="n">
        <f aca="false">Assumptions!$D$22*(1+Assumptions!$F$22)^((Assumptions!$C$5-Assumptions!$C$4)/365)</f>
        <v>681.584366566089</v>
      </c>
      <c r="H478" s="35" t="n">
        <f aca="false">E478*G478</f>
        <v>15336.8887715623</v>
      </c>
      <c r="I478" s="47" t="n">
        <f aca="false">IF(F478&lt;365,Assumptions!$G$22,IF(F478&lt;=730,Assumptions!$H$22,Assumptions!$I$22))</f>
        <v>0</v>
      </c>
      <c r="J478" s="35" t="n">
        <f aca="false">H478*I478</f>
        <v>0</v>
      </c>
      <c r="K478" s="35" t="n">
        <f aca="false">H478-J478</f>
        <v>15336.8887715623</v>
      </c>
      <c r="L478" s="35" t="n">
        <f aca="false">K478-C478</f>
        <v>5336.88877156232</v>
      </c>
      <c r="M478" s="33" t="str">
        <f aca="false">IF(F478&gt;365,"LTCG","STCG")</f>
        <v>LTCG</v>
      </c>
      <c r="N478" s="47" t="n">
        <f aca="false">IF(M478="LTCG",Assumptions!$C$12,Assumptions!$C$11)</f>
        <v>0.125</v>
      </c>
      <c r="O478" s="33" t="str">
        <f aca="false">IF(M478="STCG",MAX(L478,0)*Assumptions!$C$11,"agg. below")</f>
        <v>agg. below</v>
      </c>
    </row>
    <row r="479" customFormat="false" ht="15" hidden="false" customHeight="false" outlineLevel="1" collapsed="false">
      <c r="A479" s="38" t="str">
        <f aca="false">TEXT(SIP_Fund2_HDFCMidcap!B98,"mmm-yyyy")</f>
        <v>Oct-2032</v>
      </c>
      <c r="B479" s="39" t="n">
        <f aca="false">SIP_Fund2_HDFCMidcap!B98</f>
        <v>48488</v>
      </c>
      <c r="C479" s="40" t="n">
        <f aca="false">SIP_Fund2_HDFCMidcap!C98</f>
        <v>10000</v>
      </c>
      <c r="D479" s="41" t="n">
        <f aca="false">SIP_Fund2_HDFCMidcap!H98</f>
        <v>449.064629996675</v>
      </c>
      <c r="E479" s="42" t="n">
        <f aca="false">SIP_Fund2_HDFCMidcap!I98</f>
        <v>22.2685095463298</v>
      </c>
      <c r="F479" s="38" t="n">
        <f aca="false">Assumptions!$C$5-B479</f>
        <v>1201</v>
      </c>
      <c r="G479" s="41" t="n">
        <f aca="false">Assumptions!$D$22*(1+Assumptions!$F$22)^((Assumptions!$C$5-Assumptions!$C$4)/365)</f>
        <v>681.584366566089</v>
      </c>
      <c r="H479" s="40" t="n">
        <f aca="false">E479*G479</f>
        <v>15177.8679735061</v>
      </c>
      <c r="I479" s="48" t="n">
        <f aca="false">IF(F479&lt;365,Assumptions!$G$22,IF(F479&lt;=730,Assumptions!$H$22,Assumptions!$I$22))</f>
        <v>0</v>
      </c>
      <c r="J479" s="40" t="n">
        <f aca="false">H479*I479</f>
        <v>0</v>
      </c>
      <c r="K479" s="40" t="n">
        <f aca="false">H479-J479</f>
        <v>15177.8679735061</v>
      </c>
      <c r="L479" s="40" t="n">
        <f aca="false">K479-C479</f>
        <v>5177.86797350607</v>
      </c>
      <c r="M479" s="38" t="str">
        <f aca="false">IF(F479&gt;365,"LTCG","STCG")</f>
        <v>LTCG</v>
      </c>
      <c r="N479" s="48" t="n">
        <f aca="false">IF(M479="LTCG",Assumptions!$C$12,Assumptions!$C$11)</f>
        <v>0.125</v>
      </c>
      <c r="O479" s="38" t="str">
        <f aca="false">IF(M479="STCG",MAX(L479,0)*Assumptions!$C$11,"agg. below")</f>
        <v>agg. below</v>
      </c>
    </row>
    <row r="480" customFormat="false" ht="15" hidden="false" customHeight="false" outlineLevel="1" collapsed="false">
      <c r="A480" s="33" t="str">
        <f aca="false">TEXT(SIP_Fund2_HDFCMidcap!B99,"mmm-yyyy")</f>
        <v>Nov-2032</v>
      </c>
      <c r="B480" s="34" t="n">
        <f aca="false">SIP_Fund2_HDFCMidcap!B99</f>
        <v>48519</v>
      </c>
      <c r="C480" s="35" t="n">
        <f aca="false">SIP_Fund2_HDFCMidcap!C99</f>
        <v>10000</v>
      </c>
      <c r="D480" s="36" t="n">
        <f aca="false">SIP_Fund2_HDFCMidcap!H99</f>
        <v>453.92722412853</v>
      </c>
      <c r="E480" s="37" t="n">
        <f aca="false">SIP_Fund2_HDFCMidcap!I99</f>
        <v>22.0299631052058</v>
      </c>
      <c r="F480" s="33" t="n">
        <f aca="false">Assumptions!$C$5-B480</f>
        <v>1170</v>
      </c>
      <c r="G480" s="36" t="n">
        <f aca="false">Assumptions!$D$22*(1+Assumptions!$F$22)^((Assumptions!$C$5-Assumptions!$C$4)/365)</f>
        <v>681.584366566089</v>
      </c>
      <c r="H480" s="35" t="n">
        <f aca="false">E480*G480</f>
        <v>15015.278448536</v>
      </c>
      <c r="I480" s="47" t="n">
        <f aca="false">IF(F480&lt;365,Assumptions!$G$22,IF(F480&lt;=730,Assumptions!$H$22,Assumptions!$I$22))</f>
        <v>0</v>
      </c>
      <c r="J480" s="35" t="n">
        <f aca="false">H480*I480</f>
        <v>0</v>
      </c>
      <c r="K480" s="35" t="n">
        <f aca="false">H480-J480</f>
        <v>15015.278448536</v>
      </c>
      <c r="L480" s="35" t="n">
        <f aca="false">K480-C480</f>
        <v>5015.278448536</v>
      </c>
      <c r="M480" s="33" t="str">
        <f aca="false">IF(F480&gt;365,"LTCG","STCG")</f>
        <v>LTCG</v>
      </c>
      <c r="N480" s="47" t="n">
        <f aca="false">IF(M480="LTCG",Assumptions!$C$12,Assumptions!$C$11)</f>
        <v>0.125</v>
      </c>
      <c r="O480" s="33" t="str">
        <f aca="false">IF(M480="STCG",MAX(L480,0)*Assumptions!$C$11,"agg. below")</f>
        <v>agg. below</v>
      </c>
    </row>
    <row r="481" customFormat="false" ht="15" hidden="false" customHeight="false" outlineLevel="1" collapsed="false">
      <c r="A481" s="38" t="str">
        <f aca="false">TEXT(SIP_Fund2_HDFCMidcap!B100,"mmm-yyyy")</f>
        <v>Dec-2032</v>
      </c>
      <c r="B481" s="39" t="n">
        <f aca="false">SIP_Fund2_HDFCMidcap!B100</f>
        <v>48549</v>
      </c>
      <c r="C481" s="40" t="n">
        <f aca="false">SIP_Fund2_HDFCMidcap!C100</f>
        <v>10000</v>
      </c>
      <c r="D481" s="41" t="n">
        <f aca="false">SIP_Fund2_HDFCMidcap!H100</f>
        <v>458.683087703465</v>
      </c>
      <c r="E481" s="42" t="n">
        <f aca="false">SIP_Fund2_HDFCMidcap!I100</f>
        <v>21.8015450494763</v>
      </c>
      <c r="F481" s="38" t="n">
        <f aca="false">Assumptions!$C$5-B481</f>
        <v>1140</v>
      </c>
      <c r="G481" s="41" t="n">
        <f aca="false">Assumptions!$D$22*(1+Assumptions!$F$22)^((Assumptions!$C$5-Assumptions!$C$4)/365)</f>
        <v>681.584366566089</v>
      </c>
      <c r="H481" s="40" t="n">
        <f aca="false">E481*G481</f>
        <v>14859.5922727094</v>
      </c>
      <c r="I481" s="48" t="n">
        <f aca="false">IF(F481&lt;365,Assumptions!$G$22,IF(F481&lt;=730,Assumptions!$H$22,Assumptions!$I$22))</f>
        <v>0</v>
      </c>
      <c r="J481" s="40" t="n">
        <f aca="false">H481*I481</f>
        <v>0</v>
      </c>
      <c r="K481" s="40" t="n">
        <f aca="false">H481-J481</f>
        <v>14859.5922727094</v>
      </c>
      <c r="L481" s="40" t="n">
        <f aca="false">K481-C481</f>
        <v>4859.59227270938</v>
      </c>
      <c r="M481" s="38" t="str">
        <f aca="false">IF(F481&gt;365,"LTCG","STCG")</f>
        <v>LTCG</v>
      </c>
      <c r="N481" s="48" t="n">
        <f aca="false">IF(M481="LTCG",Assumptions!$C$12,Assumptions!$C$11)</f>
        <v>0.125</v>
      </c>
      <c r="O481" s="38" t="str">
        <f aca="false">IF(M481="STCG",MAX(L481,0)*Assumptions!$C$11,"agg. below")</f>
        <v>agg. below</v>
      </c>
    </row>
    <row r="482" customFormat="false" ht="15" hidden="false" customHeight="false" outlineLevel="1" collapsed="false">
      <c r="A482" s="33" t="str">
        <f aca="false">TEXT(SIP_Fund2_HDFCMidcap!B101,"mmm-yyyy")</f>
        <v>Jan-2033</v>
      </c>
      <c r="B482" s="34" t="n">
        <f aca="false">SIP_Fund2_HDFCMidcap!B101</f>
        <v>48580</v>
      </c>
      <c r="C482" s="35" t="n">
        <f aca="false">SIP_Fund2_HDFCMidcap!C101</f>
        <v>11000</v>
      </c>
      <c r="D482" s="36" t="n">
        <f aca="false">SIP_Fund2_HDFCMidcap!H101</f>
        <v>463.649833115288</v>
      </c>
      <c r="E482" s="37" t="n">
        <f aca="false">SIP_Fund2_HDFCMidcap!I101</f>
        <v>23.7248009474961</v>
      </c>
      <c r="F482" s="33" t="n">
        <f aca="false">Assumptions!$C$5-B482</f>
        <v>1109</v>
      </c>
      <c r="G482" s="36" t="n">
        <f aca="false">Assumptions!$D$22*(1+Assumptions!$F$22)^((Assumptions!$C$5-Assumptions!$C$4)/365)</f>
        <v>681.584366566089</v>
      </c>
      <c r="H482" s="35" t="n">
        <f aca="false">E482*G482</f>
        <v>16170.4534257057</v>
      </c>
      <c r="I482" s="47" t="n">
        <f aca="false">IF(F482&lt;365,Assumptions!$G$22,IF(F482&lt;=730,Assumptions!$H$22,Assumptions!$I$22))</f>
        <v>0</v>
      </c>
      <c r="J482" s="35" t="n">
        <f aca="false">H482*I482</f>
        <v>0</v>
      </c>
      <c r="K482" s="35" t="n">
        <f aca="false">H482-J482</f>
        <v>16170.4534257057</v>
      </c>
      <c r="L482" s="35" t="n">
        <f aca="false">K482-C482</f>
        <v>5170.45342570568</v>
      </c>
      <c r="M482" s="33" t="str">
        <f aca="false">IF(F482&gt;365,"LTCG","STCG")</f>
        <v>LTCG</v>
      </c>
      <c r="N482" s="47" t="n">
        <f aca="false">IF(M482="LTCG",Assumptions!$C$12,Assumptions!$C$11)</f>
        <v>0.125</v>
      </c>
      <c r="O482" s="33" t="str">
        <f aca="false">IF(M482="STCG",MAX(L482,0)*Assumptions!$C$11,"agg. below")</f>
        <v>agg. below</v>
      </c>
    </row>
    <row r="483" customFormat="false" ht="15" hidden="false" customHeight="false" outlineLevel="1" collapsed="false">
      <c r="A483" s="38" t="str">
        <f aca="false">TEXT(SIP_Fund2_HDFCMidcap!B102,"mmm-yyyy")</f>
        <v>Feb-2033</v>
      </c>
      <c r="B483" s="39" t="n">
        <f aca="false">SIP_Fund2_HDFCMidcap!B102</f>
        <v>48611</v>
      </c>
      <c r="C483" s="40" t="n">
        <f aca="false">SIP_Fund2_HDFCMidcap!C102</f>
        <v>11000</v>
      </c>
      <c r="D483" s="41" t="n">
        <f aca="false">SIP_Fund2_HDFCMidcap!H102</f>
        <v>468.670359799295</v>
      </c>
      <c r="E483" s="42" t="n">
        <f aca="false">SIP_Fund2_HDFCMidcap!I102</f>
        <v>23.4706543095891</v>
      </c>
      <c r="F483" s="38" t="n">
        <f aca="false">Assumptions!$C$5-B483</f>
        <v>1078</v>
      </c>
      <c r="G483" s="41" t="n">
        <f aca="false">Assumptions!$D$22*(1+Assumptions!$F$22)^((Assumptions!$C$5-Assumptions!$C$4)/365)</f>
        <v>681.584366566089</v>
      </c>
      <c r="H483" s="40" t="n">
        <f aca="false">E483*G483</f>
        <v>15997.2310504929</v>
      </c>
      <c r="I483" s="48" t="n">
        <f aca="false">IF(F483&lt;365,Assumptions!$G$22,IF(F483&lt;=730,Assumptions!$H$22,Assumptions!$I$22))</f>
        <v>0</v>
      </c>
      <c r="J483" s="40" t="n">
        <f aca="false">H483*I483</f>
        <v>0</v>
      </c>
      <c r="K483" s="40" t="n">
        <f aca="false">H483-J483</f>
        <v>15997.2310504929</v>
      </c>
      <c r="L483" s="40" t="n">
        <f aca="false">K483-C483</f>
        <v>4997.23105049295</v>
      </c>
      <c r="M483" s="38" t="str">
        <f aca="false">IF(F483&gt;365,"LTCG","STCG")</f>
        <v>LTCG</v>
      </c>
      <c r="N483" s="48" t="n">
        <f aca="false">IF(M483="LTCG",Assumptions!$C$12,Assumptions!$C$11)</f>
        <v>0.125</v>
      </c>
      <c r="O483" s="38" t="str">
        <f aca="false">IF(M483="STCG",MAX(L483,0)*Assumptions!$C$11,"agg. below")</f>
        <v>agg. below</v>
      </c>
    </row>
    <row r="484" customFormat="false" ht="15" hidden="false" customHeight="false" outlineLevel="1" collapsed="false">
      <c r="A484" s="33" t="str">
        <f aca="false">TEXT(SIP_Fund2_HDFCMidcap!B103,"mmm-yyyy")</f>
        <v>Mar-2033</v>
      </c>
      <c r="B484" s="34" t="n">
        <f aca="false">SIP_Fund2_HDFCMidcap!B103</f>
        <v>48639</v>
      </c>
      <c r="C484" s="35" t="n">
        <f aca="false">SIP_Fund2_HDFCMidcap!C103</f>
        <v>11000</v>
      </c>
      <c r="D484" s="36" t="n">
        <f aca="false">SIP_Fund2_HDFCMidcap!H103</f>
        <v>473.251739488967</v>
      </c>
      <c r="E484" s="37" t="n">
        <f aca="false">SIP_Fund2_HDFCMidcap!I103</f>
        <v>23.2434433561262</v>
      </c>
      <c r="F484" s="33" t="n">
        <f aca="false">Assumptions!$C$5-B484</f>
        <v>1050</v>
      </c>
      <c r="G484" s="36" t="n">
        <f aca="false">Assumptions!$D$22*(1+Assumptions!$F$22)^((Assumptions!$C$5-Assumptions!$C$4)/365)</f>
        <v>681.584366566089</v>
      </c>
      <c r="H484" s="35" t="n">
        <f aca="false">E484*G484</f>
        <v>15842.3676167001</v>
      </c>
      <c r="I484" s="47" t="n">
        <f aca="false">IF(F484&lt;365,Assumptions!$G$22,IF(F484&lt;=730,Assumptions!$H$22,Assumptions!$I$22))</f>
        <v>0</v>
      </c>
      <c r="J484" s="35" t="n">
        <f aca="false">H484*I484</f>
        <v>0</v>
      </c>
      <c r="K484" s="35" t="n">
        <f aca="false">H484-J484</f>
        <v>15842.3676167001</v>
      </c>
      <c r="L484" s="35" t="n">
        <f aca="false">K484-C484</f>
        <v>4842.36761670006</v>
      </c>
      <c r="M484" s="33" t="str">
        <f aca="false">IF(F484&gt;365,"LTCG","STCG")</f>
        <v>LTCG</v>
      </c>
      <c r="N484" s="47" t="n">
        <f aca="false">IF(M484="LTCG",Assumptions!$C$12,Assumptions!$C$11)</f>
        <v>0.125</v>
      </c>
      <c r="O484" s="33" t="str">
        <f aca="false">IF(M484="STCG",MAX(L484,0)*Assumptions!$C$11,"agg. below")</f>
        <v>agg. below</v>
      </c>
    </row>
    <row r="485" customFormat="false" ht="15" hidden="false" customHeight="false" outlineLevel="1" collapsed="false">
      <c r="A485" s="38" t="str">
        <f aca="false">TEXT(SIP_Fund2_HDFCMidcap!B104,"mmm-yyyy")</f>
        <v>Apr-2033</v>
      </c>
      <c r="B485" s="39" t="n">
        <f aca="false">SIP_Fund2_HDFCMidcap!B104</f>
        <v>48670</v>
      </c>
      <c r="C485" s="40" t="n">
        <f aca="false">SIP_Fund2_HDFCMidcap!C104</f>
        <v>11000</v>
      </c>
      <c r="D485" s="41" t="n">
        <f aca="false">SIP_Fund2_HDFCMidcap!H104</f>
        <v>478.376238230598</v>
      </c>
      <c r="E485" s="42" t="n">
        <f aca="false">SIP_Fund2_HDFCMidcap!I104</f>
        <v>22.9944531540413</v>
      </c>
      <c r="F485" s="38" t="n">
        <f aca="false">Assumptions!$C$5-B485</f>
        <v>1019</v>
      </c>
      <c r="G485" s="41" t="n">
        <f aca="false">Assumptions!$D$22*(1+Assumptions!$F$22)^((Assumptions!$C$5-Assumptions!$C$4)/365)</f>
        <v>681.584366566089</v>
      </c>
      <c r="H485" s="40" t="n">
        <f aca="false">E485*G485</f>
        <v>15672.6597875309</v>
      </c>
      <c r="I485" s="48" t="n">
        <f aca="false">IF(F485&lt;365,Assumptions!$G$22,IF(F485&lt;=730,Assumptions!$H$22,Assumptions!$I$22))</f>
        <v>0</v>
      </c>
      <c r="J485" s="40" t="n">
        <f aca="false">H485*I485</f>
        <v>0</v>
      </c>
      <c r="K485" s="40" t="n">
        <f aca="false">H485-J485</f>
        <v>15672.6597875309</v>
      </c>
      <c r="L485" s="40" t="n">
        <f aca="false">K485-C485</f>
        <v>4672.65978753086</v>
      </c>
      <c r="M485" s="38" t="str">
        <f aca="false">IF(F485&gt;365,"LTCG","STCG")</f>
        <v>LTCG</v>
      </c>
      <c r="N485" s="48" t="n">
        <f aca="false">IF(M485="LTCG",Assumptions!$C$12,Assumptions!$C$11)</f>
        <v>0.125</v>
      </c>
      <c r="O485" s="38" t="str">
        <f aca="false">IF(M485="STCG",MAX(L485,0)*Assumptions!$C$11,"agg. below")</f>
        <v>agg. below</v>
      </c>
    </row>
    <row r="486" customFormat="false" ht="15" hidden="false" customHeight="false" outlineLevel="1" collapsed="false">
      <c r="A486" s="33" t="str">
        <f aca="false">TEXT(SIP_Fund2_HDFCMidcap!B105,"mmm-yyyy")</f>
        <v>May-2033</v>
      </c>
      <c r="B486" s="34" t="n">
        <f aca="false">SIP_Fund2_HDFCMidcap!B105</f>
        <v>48700</v>
      </c>
      <c r="C486" s="35" t="n">
        <f aca="false">SIP_Fund2_HDFCMidcap!C105</f>
        <v>11000</v>
      </c>
      <c r="D486" s="36" t="n">
        <f aca="false">SIP_Fund2_HDFCMidcap!H105</f>
        <v>483.388257791406</v>
      </c>
      <c r="E486" s="37" t="n">
        <f aca="false">SIP_Fund2_HDFCMidcap!I105</f>
        <v>22.7560347664605</v>
      </c>
      <c r="F486" s="33" t="n">
        <f aca="false">Assumptions!$C$5-B486</f>
        <v>989</v>
      </c>
      <c r="G486" s="36" t="n">
        <f aca="false">Assumptions!$D$22*(1+Assumptions!$F$22)^((Assumptions!$C$5-Assumptions!$C$4)/365)</f>
        <v>681.584366566089</v>
      </c>
      <c r="H486" s="35" t="n">
        <f aca="false">E486*G486</f>
        <v>15510.1575418539</v>
      </c>
      <c r="I486" s="47" t="n">
        <f aca="false">IF(F486&lt;365,Assumptions!$G$22,IF(F486&lt;=730,Assumptions!$H$22,Assumptions!$I$22))</f>
        <v>0</v>
      </c>
      <c r="J486" s="35" t="n">
        <f aca="false">H486*I486</f>
        <v>0</v>
      </c>
      <c r="K486" s="35" t="n">
        <f aca="false">H486-J486</f>
        <v>15510.1575418539</v>
      </c>
      <c r="L486" s="35" t="n">
        <f aca="false">K486-C486</f>
        <v>4510.15754185387</v>
      </c>
      <c r="M486" s="33" t="str">
        <f aca="false">IF(F486&gt;365,"LTCG","STCG")</f>
        <v>LTCG</v>
      </c>
      <c r="N486" s="47" t="n">
        <f aca="false">IF(M486="LTCG",Assumptions!$C$12,Assumptions!$C$11)</f>
        <v>0.125</v>
      </c>
      <c r="O486" s="33" t="str">
        <f aca="false">IF(M486="STCG",MAX(L486,0)*Assumptions!$C$11,"agg. below")</f>
        <v>agg. below</v>
      </c>
    </row>
    <row r="487" customFormat="false" ht="15" hidden="false" customHeight="false" outlineLevel="1" collapsed="false">
      <c r="A487" s="38" t="str">
        <f aca="false">TEXT(SIP_Fund2_HDFCMidcap!B106,"mmm-yyyy")</f>
        <v>Jun-2033</v>
      </c>
      <c r="B487" s="39" t="n">
        <f aca="false">SIP_Fund2_HDFCMidcap!B106</f>
        <v>48731</v>
      </c>
      <c r="C487" s="40" t="n">
        <f aca="false">SIP_Fund2_HDFCMidcap!C106</f>
        <v>11000</v>
      </c>
      <c r="D487" s="41" t="n">
        <f aca="false">SIP_Fund2_HDFCMidcap!H106</f>
        <v>488.622517514247</v>
      </c>
      <c r="E487" s="42" t="n">
        <f aca="false">SIP_Fund2_HDFCMidcap!I106</f>
        <v>22.5122658201671</v>
      </c>
      <c r="F487" s="38" t="n">
        <f aca="false">Assumptions!$C$5-B487</f>
        <v>958</v>
      </c>
      <c r="G487" s="41" t="n">
        <f aca="false">Assumptions!$D$22*(1+Assumptions!$F$22)^((Assumptions!$C$5-Assumptions!$C$4)/365)</f>
        <v>681.584366566089</v>
      </c>
      <c r="H487" s="40" t="n">
        <f aca="false">E487*G487</f>
        <v>15344.008439006</v>
      </c>
      <c r="I487" s="48" t="n">
        <f aca="false">IF(F487&lt;365,Assumptions!$G$22,IF(F487&lt;=730,Assumptions!$H$22,Assumptions!$I$22))</f>
        <v>0</v>
      </c>
      <c r="J487" s="40" t="n">
        <f aca="false">H487*I487</f>
        <v>0</v>
      </c>
      <c r="K487" s="40" t="n">
        <f aca="false">H487-J487</f>
        <v>15344.008439006</v>
      </c>
      <c r="L487" s="40" t="n">
        <f aca="false">K487-C487</f>
        <v>4344.00843900604</v>
      </c>
      <c r="M487" s="38" t="str">
        <f aca="false">IF(F487&gt;365,"LTCG","STCG")</f>
        <v>LTCG</v>
      </c>
      <c r="N487" s="48" t="n">
        <f aca="false">IF(M487="LTCG",Assumptions!$C$12,Assumptions!$C$11)</f>
        <v>0.125</v>
      </c>
      <c r="O487" s="38" t="str">
        <f aca="false">IF(M487="STCG",MAX(L487,0)*Assumptions!$C$11,"agg. below")</f>
        <v>agg. below</v>
      </c>
    </row>
    <row r="488" customFormat="false" ht="15" hidden="false" customHeight="false" outlineLevel="1" collapsed="false">
      <c r="A488" s="33" t="str">
        <f aca="false">TEXT(SIP_Fund2_HDFCMidcap!B107,"mmm-yyyy")</f>
        <v>Jul-2033</v>
      </c>
      <c r="B488" s="34" t="n">
        <f aca="false">SIP_Fund2_HDFCMidcap!B107</f>
        <v>48761</v>
      </c>
      <c r="C488" s="35" t="n">
        <f aca="false">SIP_Fund2_HDFCMidcap!C107</f>
        <v>11000</v>
      </c>
      <c r="D488" s="36" t="n">
        <f aca="false">SIP_Fund2_HDFCMidcap!H107</f>
        <v>493.741888879119</v>
      </c>
      <c r="E488" s="37" t="n">
        <f aca="false">SIP_Fund2_HDFCMidcap!I107</f>
        <v>22.2788470003466</v>
      </c>
      <c r="F488" s="33" t="n">
        <f aca="false">Assumptions!$C$5-B488</f>
        <v>928</v>
      </c>
      <c r="G488" s="36" t="n">
        <f aca="false">Assumptions!$D$22*(1+Assumptions!$F$22)^((Assumptions!$C$5-Assumptions!$C$4)/365)</f>
        <v>681.584366566089</v>
      </c>
      <c r="H488" s="35" t="n">
        <f aca="false">E488*G488</f>
        <v>15184.913820554</v>
      </c>
      <c r="I488" s="47" t="n">
        <f aca="false">IF(F488&lt;365,Assumptions!$G$22,IF(F488&lt;=730,Assumptions!$H$22,Assumptions!$I$22))</f>
        <v>0</v>
      </c>
      <c r="J488" s="35" t="n">
        <f aca="false">H488*I488</f>
        <v>0</v>
      </c>
      <c r="K488" s="35" t="n">
        <f aca="false">H488-J488</f>
        <v>15184.913820554</v>
      </c>
      <c r="L488" s="35" t="n">
        <f aca="false">K488-C488</f>
        <v>4184.91382055403</v>
      </c>
      <c r="M488" s="33" t="str">
        <f aca="false">IF(F488&gt;365,"LTCG","STCG")</f>
        <v>LTCG</v>
      </c>
      <c r="N488" s="47" t="n">
        <f aca="false">IF(M488="LTCG",Assumptions!$C$12,Assumptions!$C$11)</f>
        <v>0.125</v>
      </c>
      <c r="O488" s="33" t="str">
        <f aca="false">IF(M488="STCG",MAX(L488,0)*Assumptions!$C$11,"agg. below")</f>
        <v>agg. below</v>
      </c>
    </row>
    <row r="489" customFormat="false" ht="15" hidden="false" customHeight="false" outlineLevel="1" collapsed="false">
      <c r="A489" s="38" t="str">
        <f aca="false">TEXT(SIP_Fund2_HDFCMidcap!B108,"mmm-yyyy")</f>
        <v>Aug-2033</v>
      </c>
      <c r="B489" s="39" t="n">
        <f aca="false">SIP_Fund2_HDFCMidcap!B108</f>
        <v>48792</v>
      </c>
      <c r="C489" s="40" t="n">
        <f aca="false">SIP_Fund2_HDFCMidcap!C108</f>
        <v>11000</v>
      </c>
      <c r="D489" s="41" t="n">
        <f aca="false">SIP_Fund2_HDFCMidcap!H108</f>
        <v>499.088260539546</v>
      </c>
      <c r="E489" s="42" t="n">
        <f aca="false">SIP_Fund2_HDFCMidcap!I108</f>
        <v>22.0401898215524</v>
      </c>
      <c r="F489" s="38" t="n">
        <f aca="false">Assumptions!$C$5-B489</f>
        <v>897</v>
      </c>
      <c r="G489" s="41" t="n">
        <f aca="false">Assumptions!$D$22*(1+Assumptions!$F$22)^((Assumptions!$C$5-Assumptions!$C$4)/365)</f>
        <v>681.584366566089</v>
      </c>
      <c r="H489" s="40" t="n">
        <f aca="false">E489*G489</f>
        <v>15022.2488185192</v>
      </c>
      <c r="I489" s="48" t="n">
        <f aca="false">IF(F489&lt;365,Assumptions!$G$22,IF(F489&lt;=730,Assumptions!$H$22,Assumptions!$I$22))</f>
        <v>0</v>
      </c>
      <c r="J489" s="40" t="n">
        <f aca="false">H489*I489</f>
        <v>0</v>
      </c>
      <c r="K489" s="40" t="n">
        <f aca="false">H489-J489</f>
        <v>15022.2488185192</v>
      </c>
      <c r="L489" s="40" t="n">
        <f aca="false">K489-C489</f>
        <v>4022.24881851917</v>
      </c>
      <c r="M489" s="38" t="str">
        <f aca="false">IF(F489&gt;365,"LTCG","STCG")</f>
        <v>LTCG</v>
      </c>
      <c r="N489" s="48" t="n">
        <f aca="false">IF(M489="LTCG",Assumptions!$C$12,Assumptions!$C$11)</f>
        <v>0.125</v>
      </c>
      <c r="O489" s="38" t="str">
        <f aca="false">IF(M489="STCG",MAX(L489,0)*Assumptions!$C$11,"agg. below")</f>
        <v>agg. below</v>
      </c>
    </row>
    <row r="490" customFormat="false" ht="15" hidden="false" customHeight="false" outlineLevel="1" collapsed="false">
      <c r="A490" s="33" t="str">
        <f aca="false">TEXT(SIP_Fund2_HDFCMidcap!B109,"mmm-yyyy")</f>
        <v>Sep-2033</v>
      </c>
      <c r="B490" s="34" t="n">
        <f aca="false">SIP_Fund2_HDFCMidcap!B109</f>
        <v>48823</v>
      </c>
      <c r="C490" s="35" t="n">
        <f aca="false">SIP_Fund2_HDFCMidcap!C109</f>
        <v>11000</v>
      </c>
      <c r="D490" s="36" t="n">
        <f aca="false">SIP_Fund2_HDFCMidcap!H109</f>
        <v>504.492524168581</v>
      </c>
      <c r="E490" s="37" t="n">
        <f aca="false">SIP_Fund2_HDFCMidcap!I109</f>
        <v>21.8040892045493</v>
      </c>
      <c r="F490" s="33" t="n">
        <f aca="false">Assumptions!$C$5-B490</f>
        <v>866</v>
      </c>
      <c r="G490" s="36" t="n">
        <f aca="false">Assumptions!$D$22*(1+Assumptions!$F$22)^((Assumptions!$C$5-Assumptions!$C$4)/365)</f>
        <v>681.584366566089</v>
      </c>
      <c r="H490" s="35" t="n">
        <f aca="false">E490*G490</f>
        <v>14861.3263290333</v>
      </c>
      <c r="I490" s="47" t="n">
        <f aca="false">IF(F490&lt;365,Assumptions!$G$22,IF(F490&lt;=730,Assumptions!$H$22,Assumptions!$I$22))</f>
        <v>0</v>
      </c>
      <c r="J490" s="35" t="n">
        <f aca="false">H490*I490</f>
        <v>0</v>
      </c>
      <c r="K490" s="35" t="n">
        <f aca="false">H490-J490</f>
        <v>14861.3263290333</v>
      </c>
      <c r="L490" s="35" t="n">
        <f aca="false">K490-C490</f>
        <v>3861.32632903325</v>
      </c>
      <c r="M490" s="33" t="str">
        <f aca="false">IF(F490&gt;365,"LTCG","STCG")</f>
        <v>LTCG</v>
      </c>
      <c r="N490" s="47" t="n">
        <f aca="false">IF(M490="LTCG",Assumptions!$C$12,Assumptions!$C$11)</f>
        <v>0.125</v>
      </c>
      <c r="O490" s="33" t="str">
        <f aca="false">IF(M490="STCG",MAX(L490,0)*Assumptions!$C$11,"agg. below")</f>
        <v>agg. below</v>
      </c>
    </row>
    <row r="491" customFormat="false" ht="15" hidden="false" customHeight="false" outlineLevel="1" collapsed="false">
      <c r="A491" s="38" t="str">
        <f aca="false">TEXT(SIP_Fund2_HDFCMidcap!B110,"mmm-yyyy")</f>
        <v>Oct-2033</v>
      </c>
      <c r="B491" s="39" t="n">
        <f aca="false">SIP_Fund2_HDFCMidcap!B110</f>
        <v>48853</v>
      </c>
      <c r="C491" s="40" t="n">
        <f aca="false">SIP_Fund2_HDFCMidcap!C110</f>
        <v>11000</v>
      </c>
      <c r="D491" s="41" t="n">
        <f aca="false">SIP_Fund2_HDFCMidcap!H110</f>
        <v>509.778167972226</v>
      </c>
      <c r="E491" s="42" t="n">
        <f aca="false">SIP_Fund2_HDFCMidcap!I110</f>
        <v>21.5780131262885</v>
      </c>
      <c r="F491" s="38" t="n">
        <f aca="false">Assumptions!$C$5-B491</f>
        <v>836</v>
      </c>
      <c r="G491" s="41" t="n">
        <f aca="false">Assumptions!$D$22*(1+Assumptions!$F$22)^((Assumptions!$C$5-Assumptions!$C$4)/365)</f>
        <v>681.584366566089</v>
      </c>
      <c r="H491" s="40" t="n">
        <f aca="false">E491*G491</f>
        <v>14707.2364084361</v>
      </c>
      <c r="I491" s="48" t="n">
        <f aca="false">IF(F491&lt;365,Assumptions!$G$22,IF(F491&lt;=730,Assumptions!$H$22,Assumptions!$I$22))</f>
        <v>0</v>
      </c>
      <c r="J491" s="40" t="n">
        <f aca="false">H491*I491</f>
        <v>0</v>
      </c>
      <c r="K491" s="40" t="n">
        <f aca="false">H491-J491</f>
        <v>14707.2364084361</v>
      </c>
      <c r="L491" s="40" t="n">
        <f aca="false">K491-C491</f>
        <v>3707.23640843612</v>
      </c>
      <c r="M491" s="38" t="str">
        <f aca="false">IF(F491&gt;365,"LTCG","STCG")</f>
        <v>LTCG</v>
      </c>
      <c r="N491" s="48" t="n">
        <f aca="false">IF(M491="LTCG",Assumptions!$C$12,Assumptions!$C$11)</f>
        <v>0.125</v>
      </c>
      <c r="O491" s="38" t="str">
        <f aca="false">IF(M491="STCG",MAX(L491,0)*Assumptions!$C$11,"agg. below")</f>
        <v>agg. below</v>
      </c>
    </row>
    <row r="492" customFormat="false" ht="15" hidden="false" customHeight="false" outlineLevel="1" collapsed="false">
      <c r="A492" s="33" t="str">
        <f aca="false">TEXT(SIP_Fund2_HDFCMidcap!B111,"mmm-yyyy")</f>
        <v>Nov-2033</v>
      </c>
      <c r="B492" s="34" t="n">
        <f aca="false">SIP_Fund2_HDFCMidcap!B111</f>
        <v>48884</v>
      </c>
      <c r="C492" s="35" t="n">
        <f aca="false">SIP_Fund2_HDFCMidcap!C111</f>
        <v>11000</v>
      </c>
      <c r="D492" s="36" t="n">
        <f aca="false">SIP_Fund2_HDFCMidcap!H111</f>
        <v>515.298184830707</v>
      </c>
      <c r="E492" s="37" t="n">
        <f aca="false">SIP_Fund2_HDFCMidcap!I111</f>
        <v>21.3468634740366</v>
      </c>
      <c r="F492" s="33" t="n">
        <f aca="false">Assumptions!$C$5-B492</f>
        <v>805</v>
      </c>
      <c r="G492" s="36" t="n">
        <f aca="false">Assumptions!$D$22*(1+Assumptions!$F$22)^((Assumptions!$C$5-Assumptions!$C$4)/365)</f>
        <v>681.584366566089</v>
      </c>
      <c r="H492" s="35" t="n">
        <f aca="false">E492*G492</f>
        <v>14549.688419124</v>
      </c>
      <c r="I492" s="47" t="n">
        <f aca="false">IF(F492&lt;365,Assumptions!$G$22,IF(F492&lt;=730,Assumptions!$H$22,Assumptions!$I$22))</f>
        <v>0</v>
      </c>
      <c r="J492" s="35" t="n">
        <f aca="false">H492*I492</f>
        <v>0</v>
      </c>
      <c r="K492" s="35" t="n">
        <f aca="false">H492-J492</f>
        <v>14549.688419124</v>
      </c>
      <c r="L492" s="35" t="n">
        <f aca="false">K492-C492</f>
        <v>3549.68841912404</v>
      </c>
      <c r="M492" s="33" t="str">
        <f aca="false">IF(F492&gt;365,"LTCG","STCG")</f>
        <v>LTCG</v>
      </c>
      <c r="N492" s="47" t="n">
        <f aca="false">IF(M492="LTCG",Assumptions!$C$12,Assumptions!$C$11)</f>
        <v>0.125</v>
      </c>
      <c r="O492" s="33" t="str">
        <f aca="false">IF(M492="STCG",MAX(L492,0)*Assumptions!$C$11,"agg. below")</f>
        <v>agg. below</v>
      </c>
    </row>
    <row r="493" customFormat="false" ht="15" hidden="false" customHeight="false" outlineLevel="1" collapsed="false">
      <c r="A493" s="38" t="str">
        <f aca="false">TEXT(SIP_Fund2_HDFCMidcap!B112,"mmm-yyyy")</f>
        <v>Dec-2033</v>
      </c>
      <c r="B493" s="39" t="n">
        <f aca="false">SIP_Fund2_HDFCMidcap!B112</f>
        <v>48914</v>
      </c>
      <c r="C493" s="40" t="n">
        <f aca="false">SIP_Fund2_HDFCMidcap!C112</f>
        <v>11000</v>
      </c>
      <c r="D493" s="41" t="n">
        <f aca="false">SIP_Fund2_HDFCMidcap!H112</f>
        <v>520.697041160974</v>
      </c>
      <c r="E493" s="42" t="n">
        <f aca="false">SIP_Fund2_HDFCMidcap!I112</f>
        <v>21.1255281487174</v>
      </c>
      <c r="F493" s="38" t="n">
        <f aca="false">Assumptions!$C$5-B493</f>
        <v>775</v>
      </c>
      <c r="G493" s="41" t="n">
        <f aca="false">Assumptions!$D$22*(1+Assumptions!$F$22)^((Assumptions!$C$5-Assumptions!$C$4)/365)</f>
        <v>681.584366566089</v>
      </c>
      <c r="H493" s="40" t="n">
        <f aca="false">E493*G493</f>
        <v>14398.8297216176</v>
      </c>
      <c r="I493" s="48" t="n">
        <f aca="false">IF(F493&lt;365,Assumptions!$G$22,IF(F493&lt;=730,Assumptions!$H$22,Assumptions!$I$22))</f>
        <v>0</v>
      </c>
      <c r="J493" s="40" t="n">
        <f aca="false">H493*I493</f>
        <v>0</v>
      </c>
      <c r="K493" s="40" t="n">
        <f aca="false">H493-J493</f>
        <v>14398.8297216176</v>
      </c>
      <c r="L493" s="40" t="n">
        <f aca="false">K493-C493</f>
        <v>3398.82972161761</v>
      </c>
      <c r="M493" s="38" t="str">
        <f aca="false">IF(F493&gt;365,"LTCG","STCG")</f>
        <v>LTCG</v>
      </c>
      <c r="N493" s="48" t="n">
        <f aca="false">IF(M493="LTCG",Assumptions!$C$12,Assumptions!$C$11)</f>
        <v>0.125</v>
      </c>
      <c r="O493" s="38" t="str">
        <f aca="false">IF(M493="STCG",MAX(L493,0)*Assumptions!$C$11,"agg. below")</f>
        <v>agg. below</v>
      </c>
    </row>
    <row r="494" customFormat="false" ht="15" hidden="false" customHeight="false" outlineLevel="1" collapsed="false">
      <c r="A494" s="33" t="str">
        <f aca="false">TEXT(SIP_Fund2_HDFCMidcap!B113,"mmm-yyyy")</f>
        <v>Jan-2034</v>
      </c>
      <c r="B494" s="34" t="n">
        <f aca="false">SIP_Fund2_HDFCMidcap!B113</f>
        <v>48945</v>
      </c>
      <c r="C494" s="35" t="n">
        <f aca="false">SIP_Fund2_HDFCMidcap!C113</f>
        <v>12000</v>
      </c>
      <c r="D494" s="36" t="n">
        <f aca="false">SIP_Fund2_HDFCMidcap!H113</f>
        <v>526.335290552475</v>
      </c>
      <c r="E494" s="37" t="n">
        <f aca="false">SIP_Fund2_HDFCMidcap!I113</f>
        <v>22.7991552445667</v>
      </c>
      <c r="F494" s="33" t="n">
        <f aca="false">Assumptions!$C$5-B494</f>
        <v>744</v>
      </c>
      <c r="G494" s="36" t="n">
        <f aca="false">Assumptions!$D$22*(1+Assumptions!$F$22)^((Assumptions!$C$5-Assumptions!$C$4)/365)</f>
        <v>681.584366566089</v>
      </c>
      <c r="H494" s="35" t="n">
        <f aca="false">E494*G494</f>
        <v>15539.5477856099</v>
      </c>
      <c r="I494" s="47" t="n">
        <f aca="false">IF(F494&lt;365,Assumptions!$G$22,IF(F494&lt;=730,Assumptions!$H$22,Assumptions!$I$22))</f>
        <v>0</v>
      </c>
      <c r="J494" s="35" t="n">
        <f aca="false">H494*I494</f>
        <v>0</v>
      </c>
      <c r="K494" s="35" t="n">
        <f aca="false">H494-J494</f>
        <v>15539.5477856099</v>
      </c>
      <c r="L494" s="35" t="n">
        <f aca="false">K494-C494</f>
        <v>3539.54778560992</v>
      </c>
      <c r="M494" s="33" t="str">
        <f aca="false">IF(F494&gt;365,"LTCG","STCG")</f>
        <v>LTCG</v>
      </c>
      <c r="N494" s="47" t="n">
        <f aca="false">IF(M494="LTCG",Assumptions!$C$12,Assumptions!$C$11)</f>
        <v>0.125</v>
      </c>
      <c r="O494" s="33" t="str">
        <f aca="false">IF(M494="STCG",MAX(L494,0)*Assumptions!$C$11,"agg. below")</f>
        <v>agg. below</v>
      </c>
    </row>
    <row r="495" customFormat="false" ht="15" hidden="false" customHeight="false" outlineLevel="1" collapsed="false">
      <c r="A495" s="38" t="str">
        <f aca="false">TEXT(SIP_Fund2_HDFCMidcap!B114,"mmm-yyyy")</f>
        <v>Feb-2034</v>
      </c>
      <c r="B495" s="39" t="n">
        <f aca="false">SIP_Fund2_HDFCMidcap!B114</f>
        <v>48976</v>
      </c>
      <c r="C495" s="40" t="n">
        <f aca="false">SIP_Fund2_HDFCMidcap!C114</f>
        <v>12000</v>
      </c>
      <c r="D495" s="41" t="n">
        <f aca="false">SIP_Fund2_HDFCMidcap!H114</f>
        <v>532.03459244416</v>
      </c>
      <c r="E495" s="42" t="n">
        <f aca="false">SIP_Fund2_HDFCMidcap!I114</f>
        <v>22.5549243797704</v>
      </c>
      <c r="F495" s="38" t="n">
        <f aca="false">Assumptions!$C$5-B495</f>
        <v>713</v>
      </c>
      <c r="G495" s="41" t="n">
        <f aca="false">Assumptions!$D$22*(1+Assumptions!$F$22)^((Assumptions!$C$5-Assumptions!$C$4)/365)</f>
        <v>681.584366566089</v>
      </c>
      <c r="H495" s="40" t="n">
        <f aca="false">E495*G495</f>
        <v>15373.0838463319</v>
      </c>
      <c r="I495" s="48" t="n">
        <f aca="false">IF(F495&lt;365,Assumptions!$G$22,IF(F495&lt;=730,Assumptions!$H$22,Assumptions!$I$22))</f>
        <v>0</v>
      </c>
      <c r="J495" s="40" t="n">
        <f aca="false">H495*I495</f>
        <v>0</v>
      </c>
      <c r="K495" s="40" t="n">
        <f aca="false">H495-J495</f>
        <v>15373.0838463319</v>
      </c>
      <c r="L495" s="40" t="n">
        <f aca="false">K495-C495</f>
        <v>3373.08384633187</v>
      </c>
      <c r="M495" s="38" t="str">
        <f aca="false">IF(F495&gt;365,"LTCG","STCG")</f>
        <v>LTCG</v>
      </c>
      <c r="N495" s="48" t="n">
        <f aca="false">IF(M495="LTCG",Assumptions!$C$12,Assumptions!$C$11)</f>
        <v>0.125</v>
      </c>
      <c r="O495" s="38" t="str">
        <f aca="false">IF(M495="STCG",MAX(L495,0)*Assumptions!$C$11,"agg. below")</f>
        <v>agg. below</v>
      </c>
    </row>
    <row r="496" customFormat="false" ht="15" hidden="false" customHeight="false" outlineLevel="1" collapsed="false">
      <c r="A496" s="33" t="str">
        <f aca="false">TEXT(SIP_Fund2_HDFCMidcap!B115,"mmm-yyyy")</f>
        <v>Mar-2034</v>
      </c>
      <c r="B496" s="34" t="n">
        <f aca="false">SIP_Fund2_HDFCMidcap!B115</f>
        <v>49004</v>
      </c>
      <c r="C496" s="35" t="n">
        <f aca="false">SIP_Fund2_HDFCMidcap!C115</f>
        <v>12000</v>
      </c>
      <c r="D496" s="36" t="n">
        <f aca="false">SIP_Fund2_HDFCMidcap!H115</f>
        <v>537.235374667875</v>
      </c>
      <c r="E496" s="37" t="n">
        <f aca="false">SIP_Fund2_HDFCMidcap!I115</f>
        <v>22.3365782780379</v>
      </c>
      <c r="F496" s="33" t="n">
        <f aca="false">Assumptions!$C$5-B496</f>
        <v>685</v>
      </c>
      <c r="G496" s="36" t="n">
        <f aca="false">Assumptions!$D$22*(1+Assumptions!$F$22)^((Assumptions!$C$5-Assumptions!$C$4)/365)</f>
        <v>681.584366566089</v>
      </c>
      <c r="H496" s="35" t="n">
        <f aca="false">E496*G496</f>
        <v>15224.2625568903</v>
      </c>
      <c r="I496" s="47" t="n">
        <f aca="false">IF(F496&lt;365,Assumptions!$G$22,IF(F496&lt;=730,Assumptions!$H$22,Assumptions!$I$22))</f>
        <v>0</v>
      </c>
      <c r="J496" s="35" t="n">
        <f aca="false">H496*I496</f>
        <v>0</v>
      </c>
      <c r="K496" s="35" t="n">
        <f aca="false">H496-J496</f>
        <v>15224.2625568903</v>
      </c>
      <c r="L496" s="35" t="n">
        <f aca="false">K496-C496</f>
        <v>3224.26255689031</v>
      </c>
      <c r="M496" s="33" t="str">
        <f aca="false">IF(F496&gt;365,"LTCG","STCG")</f>
        <v>LTCG</v>
      </c>
      <c r="N496" s="47" t="n">
        <f aca="false">IF(M496="LTCG",Assumptions!$C$12,Assumptions!$C$11)</f>
        <v>0.125</v>
      </c>
      <c r="O496" s="33" t="str">
        <f aca="false">IF(M496="STCG",MAX(L496,0)*Assumptions!$C$11,"agg. below")</f>
        <v>agg. below</v>
      </c>
    </row>
    <row r="497" customFormat="false" ht="15" hidden="false" customHeight="false" outlineLevel="1" collapsed="false">
      <c r="A497" s="38" t="str">
        <f aca="false">TEXT(SIP_Fund2_HDFCMidcap!B116,"mmm-yyyy")</f>
        <v>Apr-2034</v>
      </c>
      <c r="B497" s="39" t="n">
        <f aca="false">SIP_Fund2_HDFCMidcap!B116</f>
        <v>49035</v>
      </c>
      <c r="C497" s="40" t="n">
        <f aca="false">SIP_Fund2_HDFCMidcap!C116</f>
        <v>12000</v>
      </c>
      <c r="D497" s="41" t="n">
        <f aca="false">SIP_Fund2_HDFCMidcap!H116</f>
        <v>543.052705639375</v>
      </c>
      <c r="E497" s="42" t="n">
        <f aca="false">SIP_Fund2_HDFCMidcap!I116</f>
        <v>22.0973026658095</v>
      </c>
      <c r="F497" s="38" t="n">
        <f aca="false">Assumptions!$C$5-B497</f>
        <v>654</v>
      </c>
      <c r="G497" s="41" t="n">
        <f aca="false">Assumptions!$D$22*(1+Assumptions!$F$22)^((Assumptions!$C$5-Assumptions!$C$4)/365)</f>
        <v>681.584366566089</v>
      </c>
      <c r="H497" s="40" t="n">
        <f aca="false">E497*G497</f>
        <v>15061.1760402949</v>
      </c>
      <c r="I497" s="48" t="n">
        <f aca="false">IF(F497&lt;365,Assumptions!$G$22,IF(F497&lt;=730,Assumptions!$H$22,Assumptions!$I$22))</f>
        <v>0</v>
      </c>
      <c r="J497" s="40" t="n">
        <f aca="false">H497*I497</f>
        <v>0</v>
      </c>
      <c r="K497" s="40" t="n">
        <f aca="false">H497-J497</f>
        <v>15061.1760402949</v>
      </c>
      <c r="L497" s="40" t="n">
        <f aca="false">K497-C497</f>
        <v>3061.17604029489</v>
      </c>
      <c r="M497" s="38" t="str">
        <f aca="false">IF(F497&gt;365,"LTCG","STCG")</f>
        <v>LTCG</v>
      </c>
      <c r="N497" s="48" t="n">
        <f aca="false">IF(M497="LTCG",Assumptions!$C$12,Assumptions!$C$11)</f>
        <v>0.125</v>
      </c>
      <c r="O497" s="38" t="str">
        <f aca="false">IF(M497="STCG",MAX(L497,0)*Assumptions!$C$11,"agg. below")</f>
        <v>agg. below</v>
      </c>
    </row>
    <row r="498" customFormat="false" ht="15" hidden="false" customHeight="false" outlineLevel="1" collapsed="false">
      <c r="A498" s="33" t="str">
        <f aca="false">TEXT(SIP_Fund2_HDFCMidcap!B117,"mmm-yyyy")</f>
        <v>May-2034</v>
      </c>
      <c r="B498" s="34" t="n">
        <f aca="false">SIP_Fund2_HDFCMidcap!B117</f>
        <v>49065</v>
      </c>
      <c r="C498" s="35" t="n">
        <f aca="false">SIP_Fund2_HDFCMidcap!C117</f>
        <v>12000</v>
      </c>
      <c r="D498" s="36" t="n">
        <f aca="false">SIP_Fund2_HDFCMidcap!H117</f>
        <v>548.742350244804</v>
      </c>
      <c r="E498" s="37" t="n">
        <f aca="false">SIP_Fund2_HDFCMidcap!I117</f>
        <v>21.8681863986743</v>
      </c>
      <c r="F498" s="33" t="n">
        <f aca="false">Assumptions!$C$5-B498</f>
        <v>624</v>
      </c>
      <c r="G498" s="36" t="n">
        <f aca="false">Assumptions!$D$22*(1+Assumptions!$F$22)^((Assumptions!$C$5-Assumptions!$C$4)/365)</f>
        <v>681.584366566089</v>
      </c>
      <c r="H498" s="35" t="n">
        <f aca="false">E498*G498</f>
        <v>14905.0139744896</v>
      </c>
      <c r="I498" s="47" t="n">
        <f aca="false">IF(F498&lt;365,Assumptions!$G$22,IF(F498&lt;=730,Assumptions!$H$22,Assumptions!$I$22))</f>
        <v>0</v>
      </c>
      <c r="J498" s="35" t="n">
        <f aca="false">H498*I498</f>
        <v>0</v>
      </c>
      <c r="K498" s="35" t="n">
        <f aca="false">H498-J498</f>
        <v>14905.0139744896</v>
      </c>
      <c r="L498" s="35" t="n">
        <f aca="false">K498-C498</f>
        <v>2905.01397448959</v>
      </c>
      <c r="M498" s="33" t="str">
        <f aca="false">IF(F498&gt;365,"LTCG","STCG")</f>
        <v>LTCG</v>
      </c>
      <c r="N498" s="47" t="n">
        <f aca="false">IF(M498="LTCG",Assumptions!$C$12,Assumptions!$C$11)</f>
        <v>0.125</v>
      </c>
      <c r="O498" s="33" t="str">
        <f aca="false">IF(M498="STCG",MAX(L498,0)*Assumptions!$C$11,"agg. below")</f>
        <v>agg. below</v>
      </c>
    </row>
    <row r="499" customFormat="false" ht="15" hidden="false" customHeight="false" outlineLevel="1" collapsed="false">
      <c r="A499" s="38" t="str">
        <f aca="false">TEXT(SIP_Fund2_HDFCMidcap!B118,"mmm-yyyy")</f>
        <v>Jun-2034</v>
      </c>
      <c r="B499" s="39" t="n">
        <f aca="false">SIP_Fund2_HDFCMidcap!B118</f>
        <v>49096</v>
      </c>
      <c r="C499" s="40" t="n">
        <f aca="false">SIP_Fund2_HDFCMidcap!C118</f>
        <v>12000</v>
      </c>
      <c r="D499" s="41" t="n">
        <f aca="false">SIP_Fund2_HDFCMidcap!H118</f>
        <v>554.684281882173</v>
      </c>
      <c r="E499" s="42" t="n">
        <f aca="false">SIP_Fund2_HDFCMidcap!I118</f>
        <v>21.6339283299703</v>
      </c>
      <c r="F499" s="38" t="n">
        <f aca="false">Assumptions!$C$5-B499</f>
        <v>593</v>
      </c>
      <c r="G499" s="41" t="n">
        <f aca="false">Assumptions!$D$22*(1+Assumptions!$F$22)^((Assumptions!$C$5-Assumptions!$C$4)/365)</f>
        <v>681.584366566089</v>
      </c>
      <c r="H499" s="40" t="n">
        <f aca="false">E499*G499</f>
        <v>14745.347337119</v>
      </c>
      <c r="I499" s="48" t="n">
        <f aca="false">IF(F499&lt;365,Assumptions!$G$22,IF(F499&lt;=730,Assumptions!$H$22,Assumptions!$I$22))</f>
        <v>0</v>
      </c>
      <c r="J499" s="40" t="n">
        <f aca="false">H499*I499</f>
        <v>0</v>
      </c>
      <c r="K499" s="40" t="n">
        <f aca="false">H499-J499</f>
        <v>14745.347337119</v>
      </c>
      <c r="L499" s="40" t="n">
        <f aca="false">K499-C499</f>
        <v>2745.347337119</v>
      </c>
      <c r="M499" s="38" t="str">
        <f aca="false">IF(F499&gt;365,"LTCG","STCG")</f>
        <v>LTCG</v>
      </c>
      <c r="N499" s="48" t="n">
        <f aca="false">IF(M499="LTCG",Assumptions!$C$12,Assumptions!$C$11)</f>
        <v>0.125</v>
      </c>
      <c r="O499" s="38" t="str">
        <f aca="false">IF(M499="STCG",MAX(L499,0)*Assumptions!$C$11,"agg. below")</f>
        <v>agg. below</v>
      </c>
    </row>
    <row r="500" customFormat="false" ht="15" hidden="false" customHeight="false" outlineLevel="1" collapsed="false">
      <c r="A500" s="33" t="str">
        <f aca="false">TEXT(SIP_Fund2_HDFCMidcap!B119,"mmm-yyyy")</f>
        <v>Jul-2034</v>
      </c>
      <c r="B500" s="34" t="n">
        <f aca="false">SIP_Fund2_HDFCMidcap!B119</f>
        <v>49126</v>
      </c>
      <c r="C500" s="35" t="n">
        <f aca="false">SIP_Fund2_HDFCMidcap!C119</f>
        <v>12000</v>
      </c>
      <c r="D500" s="36" t="n">
        <f aca="false">SIP_Fund2_HDFCMidcap!H119</f>
        <v>560.495792255575</v>
      </c>
      <c r="E500" s="37" t="n">
        <f aca="false">SIP_Fund2_HDFCMidcap!I119</f>
        <v>21.409616567698</v>
      </c>
      <c r="F500" s="33" t="n">
        <f aca="false">Assumptions!$C$5-B500</f>
        <v>563</v>
      </c>
      <c r="G500" s="36" t="n">
        <f aca="false">Assumptions!$D$22*(1+Assumptions!$F$22)^((Assumptions!$C$5-Assumptions!$C$4)/365)</f>
        <v>681.584366566089</v>
      </c>
      <c r="H500" s="35" t="n">
        <f aca="false">E500*G500</f>
        <v>14592.4599467173</v>
      </c>
      <c r="I500" s="47" t="n">
        <f aca="false">IF(F500&lt;365,Assumptions!$G$22,IF(F500&lt;=730,Assumptions!$H$22,Assumptions!$I$22))</f>
        <v>0</v>
      </c>
      <c r="J500" s="35" t="n">
        <f aca="false">H500*I500</f>
        <v>0</v>
      </c>
      <c r="K500" s="35" t="n">
        <f aca="false">H500-J500</f>
        <v>14592.4599467173</v>
      </c>
      <c r="L500" s="35" t="n">
        <f aca="false">K500-C500</f>
        <v>2592.45994671731</v>
      </c>
      <c r="M500" s="33" t="str">
        <f aca="false">IF(F500&gt;365,"LTCG","STCG")</f>
        <v>LTCG</v>
      </c>
      <c r="N500" s="47" t="n">
        <f aca="false">IF(M500="LTCG",Assumptions!$C$12,Assumptions!$C$11)</f>
        <v>0.125</v>
      </c>
      <c r="O500" s="33" t="str">
        <f aca="false">IF(M500="STCG",MAX(L500,0)*Assumptions!$C$11,"agg. below")</f>
        <v>agg. below</v>
      </c>
    </row>
    <row r="501" customFormat="false" ht="15" hidden="false" customHeight="false" outlineLevel="1" collapsed="false">
      <c r="A501" s="38" t="str">
        <f aca="false">TEXT(SIP_Fund2_HDFCMidcap!B120,"mmm-yyyy")</f>
        <v>Aug-2034</v>
      </c>
      <c r="B501" s="39" t="n">
        <f aca="false">SIP_Fund2_HDFCMidcap!B120</f>
        <v>49157</v>
      </c>
      <c r="C501" s="40" t="n">
        <f aca="false">SIP_Fund2_HDFCMidcap!C120</f>
        <v>12000</v>
      </c>
      <c r="D501" s="41" t="n">
        <f aca="false">SIP_Fund2_HDFCMidcap!H120</f>
        <v>566.564993364493</v>
      </c>
      <c r="E501" s="42" t="n">
        <f aca="false">SIP_Fund2_HDFCMidcap!I120</f>
        <v>21.1802708260162</v>
      </c>
      <c r="F501" s="38" t="n">
        <f aca="false">Assumptions!$C$5-B501</f>
        <v>532</v>
      </c>
      <c r="G501" s="41" t="n">
        <f aca="false">Assumptions!$D$22*(1+Assumptions!$F$22)^((Assumptions!$C$5-Assumptions!$C$4)/365)</f>
        <v>681.584366566089</v>
      </c>
      <c r="H501" s="40" t="n">
        <f aca="false">E501*G501</f>
        <v>14436.1414746484</v>
      </c>
      <c r="I501" s="48" t="n">
        <f aca="false">IF(F501&lt;365,Assumptions!$G$22,IF(F501&lt;=730,Assumptions!$H$22,Assumptions!$I$22))</f>
        <v>0</v>
      </c>
      <c r="J501" s="40" t="n">
        <f aca="false">H501*I501</f>
        <v>0</v>
      </c>
      <c r="K501" s="40" t="n">
        <f aca="false">H501-J501</f>
        <v>14436.1414746484</v>
      </c>
      <c r="L501" s="40" t="n">
        <f aca="false">K501-C501</f>
        <v>2436.14147464844</v>
      </c>
      <c r="M501" s="38" t="str">
        <f aca="false">IF(F501&gt;365,"LTCG","STCG")</f>
        <v>LTCG</v>
      </c>
      <c r="N501" s="48" t="n">
        <f aca="false">IF(M501="LTCG",Assumptions!$C$12,Assumptions!$C$11)</f>
        <v>0.125</v>
      </c>
      <c r="O501" s="38" t="str">
        <f aca="false">IF(M501="STCG",MAX(L501,0)*Assumptions!$C$11,"agg. below")</f>
        <v>agg. below</v>
      </c>
    </row>
    <row r="502" customFormat="false" ht="15" hidden="false" customHeight="false" outlineLevel="1" collapsed="false">
      <c r="A502" s="33" t="str">
        <f aca="false">TEXT(SIP_Fund2_HDFCMidcap!B121,"mmm-yyyy")</f>
        <v>Sep-2034</v>
      </c>
      <c r="B502" s="34" t="n">
        <f aca="false">SIP_Fund2_HDFCMidcap!B121</f>
        <v>49188</v>
      </c>
      <c r="C502" s="35" t="n">
        <f aca="false">SIP_Fund2_HDFCMidcap!C121</f>
        <v>12000</v>
      </c>
      <c r="D502" s="36" t="n">
        <f aca="false">SIP_Fund2_HDFCMidcap!H121</f>
        <v>572.699913436174</v>
      </c>
      <c r="E502" s="37" t="n">
        <f aca="false">SIP_Fund2_HDFCMidcap!I121</f>
        <v>20.9533818994324</v>
      </c>
      <c r="F502" s="33" t="n">
        <f aca="false">Assumptions!$C$5-B502</f>
        <v>501</v>
      </c>
      <c r="G502" s="36" t="n">
        <f aca="false">Assumptions!$D$22*(1+Assumptions!$F$22)^((Assumptions!$C$5-Assumptions!$C$4)/365)</f>
        <v>681.584366566089</v>
      </c>
      <c r="H502" s="35" t="n">
        <f aca="false">E502*G502</f>
        <v>14281.497529342</v>
      </c>
      <c r="I502" s="47" t="n">
        <f aca="false">IF(F502&lt;365,Assumptions!$G$22,IF(F502&lt;=730,Assumptions!$H$22,Assumptions!$I$22))</f>
        <v>0</v>
      </c>
      <c r="J502" s="35" t="n">
        <f aca="false">H502*I502</f>
        <v>0</v>
      </c>
      <c r="K502" s="35" t="n">
        <f aca="false">H502-J502</f>
        <v>14281.497529342</v>
      </c>
      <c r="L502" s="35" t="n">
        <f aca="false">K502-C502</f>
        <v>2281.49752934196</v>
      </c>
      <c r="M502" s="33" t="str">
        <f aca="false">IF(F502&gt;365,"LTCG","STCG")</f>
        <v>LTCG</v>
      </c>
      <c r="N502" s="47" t="n">
        <f aca="false">IF(M502="LTCG",Assumptions!$C$12,Assumptions!$C$11)</f>
        <v>0.125</v>
      </c>
      <c r="O502" s="33" t="str">
        <f aca="false">IF(M502="STCG",MAX(L502,0)*Assumptions!$C$11,"agg. below")</f>
        <v>agg. below</v>
      </c>
    </row>
    <row r="503" customFormat="false" ht="15" hidden="false" customHeight="false" outlineLevel="1" collapsed="false">
      <c r="A503" s="38" t="str">
        <f aca="false">TEXT(SIP_Fund2_HDFCMidcap!B122,"mmm-yyyy")</f>
        <v>Oct-2034</v>
      </c>
      <c r="B503" s="39" t="n">
        <f aca="false">SIP_Fund2_HDFCMidcap!B122</f>
        <v>49218</v>
      </c>
      <c r="C503" s="40" t="n">
        <f aca="false">SIP_Fund2_HDFCMidcap!C122</f>
        <v>12000</v>
      </c>
      <c r="D503" s="41" t="n">
        <f aca="false">SIP_Fund2_HDFCMidcap!H122</f>
        <v>578.700176282071</v>
      </c>
      <c r="E503" s="42" t="n">
        <f aca="false">SIP_Fund2_HDFCMidcap!I122</f>
        <v>20.7361263946651</v>
      </c>
      <c r="F503" s="38" t="n">
        <f aca="false">Assumptions!$C$5-B503</f>
        <v>471</v>
      </c>
      <c r="G503" s="41" t="n">
        <f aca="false">Assumptions!$D$22*(1+Assumptions!$F$22)^((Assumptions!$C$5-Assumptions!$C$4)/365)</f>
        <v>681.584366566089</v>
      </c>
      <c r="H503" s="40" t="n">
        <f aca="false">E503*G503</f>
        <v>14133.4195737422</v>
      </c>
      <c r="I503" s="48" t="n">
        <f aca="false">IF(F503&lt;365,Assumptions!$G$22,IF(F503&lt;=730,Assumptions!$H$22,Assumptions!$I$22))</f>
        <v>0</v>
      </c>
      <c r="J503" s="40" t="n">
        <f aca="false">H503*I503</f>
        <v>0</v>
      </c>
      <c r="K503" s="40" t="n">
        <f aca="false">H503-J503</f>
        <v>14133.4195737422</v>
      </c>
      <c r="L503" s="40" t="n">
        <f aca="false">K503-C503</f>
        <v>2133.41957374219</v>
      </c>
      <c r="M503" s="38" t="str">
        <f aca="false">IF(F503&gt;365,"LTCG","STCG")</f>
        <v>LTCG</v>
      </c>
      <c r="N503" s="48" t="n">
        <f aca="false">IF(M503="LTCG",Assumptions!$C$12,Assumptions!$C$11)</f>
        <v>0.125</v>
      </c>
      <c r="O503" s="38" t="str">
        <f aca="false">IF(M503="STCG",MAX(L503,0)*Assumptions!$C$11,"agg. below")</f>
        <v>agg. below</v>
      </c>
    </row>
    <row r="504" customFormat="false" ht="15" hidden="false" customHeight="false" outlineLevel="1" collapsed="false">
      <c r="A504" s="33" t="str">
        <f aca="false">TEXT(SIP_Fund2_HDFCMidcap!B123,"mmm-yyyy")</f>
        <v>Nov-2034</v>
      </c>
      <c r="B504" s="34" t="n">
        <f aca="false">SIP_Fund2_HDFCMidcap!B123</f>
        <v>49249</v>
      </c>
      <c r="C504" s="35" t="n">
        <f aca="false">SIP_Fund2_HDFCMidcap!C123</f>
        <v>12000</v>
      </c>
      <c r="D504" s="36" t="n">
        <f aca="false">SIP_Fund2_HDFCMidcap!H123</f>
        <v>584.966499419819</v>
      </c>
      <c r="E504" s="37" t="n">
        <f aca="false">SIP_Fund2_HDFCMidcap!I123</f>
        <v>20.5139952662278</v>
      </c>
      <c r="F504" s="33" t="n">
        <f aca="false">Assumptions!$C$5-B504</f>
        <v>440</v>
      </c>
      <c r="G504" s="36" t="n">
        <f aca="false">Assumptions!$D$22*(1+Assumptions!$F$22)^((Assumptions!$C$5-Assumptions!$C$4)/365)</f>
        <v>681.584366566089</v>
      </c>
      <c r="H504" s="35" t="n">
        <f aca="false">E504*G504</f>
        <v>13982.0184692716</v>
      </c>
      <c r="I504" s="47" t="n">
        <f aca="false">IF(F504&lt;365,Assumptions!$G$22,IF(F504&lt;=730,Assumptions!$H$22,Assumptions!$I$22))</f>
        <v>0</v>
      </c>
      <c r="J504" s="35" t="n">
        <f aca="false">H504*I504</f>
        <v>0</v>
      </c>
      <c r="K504" s="35" t="n">
        <f aca="false">H504-J504</f>
        <v>13982.0184692716</v>
      </c>
      <c r="L504" s="35" t="n">
        <f aca="false">K504-C504</f>
        <v>1982.01846927161</v>
      </c>
      <c r="M504" s="33" t="str">
        <f aca="false">IF(F504&gt;365,"LTCG","STCG")</f>
        <v>LTCG</v>
      </c>
      <c r="N504" s="47" t="n">
        <f aca="false">IF(M504="LTCG",Assumptions!$C$12,Assumptions!$C$11)</f>
        <v>0.125</v>
      </c>
      <c r="O504" s="33" t="str">
        <f aca="false">IF(M504="STCG",MAX(L504,0)*Assumptions!$C$11,"agg. below")</f>
        <v>agg. below</v>
      </c>
    </row>
    <row r="505" customFormat="false" ht="15" hidden="false" customHeight="false" outlineLevel="1" collapsed="false">
      <c r="A505" s="38" t="str">
        <f aca="false">TEXT(SIP_Fund2_HDFCMidcap!B124,"mmm-yyyy")</f>
        <v>Dec-2034</v>
      </c>
      <c r="B505" s="39" t="n">
        <f aca="false">SIP_Fund2_HDFCMidcap!B124</f>
        <v>49279</v>
      </c>
      <c r="C505" s="40" t="n">
        <f aca="false">SIP_Fund2_HDFCMidcap!C124</f>
        <v>12000</v>
      </c>
      <c r="D505" s="41" t="n">
        <f aca="false">SIP_Fund2_HDFCMidcap!H124</f>
        <v>591.095281125937</v>
      </c>
      <c r="E505" s="42" t="n">
        <f aca="false">SIP_Fund2_HDFCMidcap!I124</f>
        <v>20.3012955494113</v>
      </c>
      <c r="F505" s="38" t="n">
        <f aca="false">Assumptions!$C$5-B505</f>
        <v>410</v>
      </c>
      <c r="G505" s="41" t="n">
        <f aca="false">Assumptions!$D$22*(1+Assumptions!$F$22)^((Assumptions!$C$5-Assumptions!$C$4)/365)</f>
        <v>681.584366566089</v>
      </c>
      <c r="H505" s="40" t="n">
        <f aca="false">E505*G505</f>
        <v>13837.0456675164</v>
      </c>
      <c r="I505" s="48" t="n">
        <f aca="false">IF(F505&lt;365,Assumptions!$G$22,IF(F505&lt;=730,Assumptions!$H$22,Assumptions!$I$22))</f>
        <v>0</v>
      </c>
      <c r="J505" s="40" t="n">
        <f aca="false">H505*I505</f>
        <v>0</v>
      </c>
      <c r="K505" s="40" t="n">
        <f aca="false">H505-J505</f>
        <v>13837.0456675164</v>
      </c>
      <c r="L505" s="40" t="n">
        <f aca="false">K505-C505</f>
        <v>1837.04566751645</v>
      </c>
      <c r="M505" s="38" t="str">
        <f aca="false">IF(F505&gt;365,"LTCG","STCG")</f>
        <v>LTCG</v>
      </c>
      <c r="N505" s="48" t="n">
        <f aca="false">IF(M505="LTCG",Assumptions!$C$12,Assumptions!$C$11)</f>
        <v>0.125</v>
      </c>
      <c r="O505" s="38" t="str">
        <f aca="false">IF(M505="STCG",MAX(L505,0)*Assumptions!$C$11,"agg. below")</f>
        <v>agg. below</v>
      </c>
    </row>
    <row r="506" customFormat="false" ht="15" hidden="false" customHeight="false" outlineLevel="0" collapsed="false">
      <c r="A506" s="49" t="s">
        <v>147</v>
      </c>
      <c r="B506" s="49"/>
      <c r="C506" s="44" t="n">
        <f aca="false">SUM(C386:C505)</f>
        <v>900000</v>
      </c>
      <c r="D506" s="49"/>
      <c r="E506" s="49"/>
      <c r="F506" s="49"/>
      <c r="G506" s="49"/>
      <c r="H506" s="44" t="n">
        <f aca="false">SUM(H386:H505)</f>
        <v>1797454.32727365</v>
      </c>
      <c r="I506" s="49"/>
      <c r="J506" s="44" t="n">
        <f aca="false">SUM(J386:J505)</f>
        <v>0</v>
      </c>
      <c r="K506" s="44" t="n">
        <f aca="false">SUM(K386:K505)</f>
        <v>1797454.32727365</v>
      </c>
      <c r="L506" s="44" t="n">
        <f aca="false">SUM(L386:L505)</f>
        <v>897454.327273651</v>
      </c>
      <c r="M506" s="49"/>
      <c r="N506" s="49"/>
      <c r="O506" s="44" t="n">
        <f aca="false">SUMIF(M386:M505,"STCG",O386:O505)+MAX(0,SUMIF(M386:M505,"LTCG",L386:L505)-Assumptions!$C$13)*Assumptions!$C$12</f>
        <v>96556.7909092063</v>
      </c>
    </row>
    <row r="507" customFormat="false" ht="15" hidden="false" customHeight="false" outlineLevel="0" collapsed="false">
      <c r="A507" s="50" t="s">
        <v>148</v>
      </c>
      <c r="B507" s="50"/>
      <c r="C507" s="50"/>
      <c r="D507" s="50"/>
      <c r="E507" s="50"/>
      <c r="F507" s="50"/>
      <c r="G507" s="50"/>
      <c r="H507" s="50"/>
      <c r="I507" s="50"/>
      <c r="J507" s="50"/>
      <c r="K507" s="50"/>
      <c r="L507" s="50"/>
      <c r="M507" s="50"/>
      <c r="N507" s="50"/>
      <c r="O507" s="51" t="n">
        <f aca="false">K506-O506</f>
        <v>1700897.53636444</v>
      </c>
    </row>
    <row r="509" customFormat="false" ht="15" hidden="false" customHeight="false" outlineLevel="0" collapsed="false">
      <c r="A509" s="52" t="s">
        <v>151</v>
      </c>
      <c r="O509" s="53" t="n">
        <f aca="false">O382-O507</f>
        <v>40023.1210312513</v>
      </c>
    </row>
    <row r="512" customFormat="false" ht="16.15" hidden="false" customHeight="false" outlineLevel="0" collapsed="false">
      <c r="A512" s="45" t="s">
        <v>72</v>
      </c>
      <c r="B512" s="45"/>
      <c r="C512" s="45"/>
      <c r="D512" s="45"/>
      <c r="E512" s="45"/>
      <c r="F512" s="45"/>
      <c r="G512" s="45"/>
      <c r="H512" s="45"/>
      <c r="I512" s="45"/>
      <c r="J512" s="45"/>
      <c r="K512" s="45"/>
      <c r="L512" s="45"/>
      <c r="M512" s="45"/>
      <c r="N512" s="45"/>
      <c r="O512" s="45"/>
    </row>
    <row r="513" customFormat="false" ht="15" hidden="false" customHeight="false" outlineLevel="0" collapsed="false">
      <c r="A513" s="5" t="s">
        <v>131</v>
      </c>
    </row>
    <row r="514" customFormat="false" ht="25.5" hidden="false" customHeight="true" outlineLevel="0" collapsed="false">
      <c r="A514" s="46" t="s">
        <v>132</v>
      </c>
      <c r="B514" s="46" t="s">
        <v>133</v>
      </c>
      <c r="C514" s="46" t="s">
        <v>134</v>
      </c>
      <c r="D514" s="46" t="s">
        <v>135</v>
      </c>
      <c r="E514" s="46" t="s">
        <v>136</v>
      </c>
      <c r="F514" s="46" t="s">
        <v>137</v>
      </c>
      <c r="G514" s="46" t="s">
        <v>138</v>
      </c>
      <c r="H514" s="46" t="s">
        <v>139</v>
      </c>
      <c r="I514" s="46" t="s">
        <v>140</v>
      </c>
      <c r="J514" s="46" t="s">
        <v>141</v>
      </c>
      <c r="K514" s="46" t="s">
        <v>142</v>
      </c>
      <c r="L514" s="46" t="s">
        <v>143</v>
      </c>
      <c r="M514" s="46" t="s">
        <v>144</v>
      </c>
      <c r="N514" s="46" t="s">
        <v>145</v>
      </c>
      <c r="O514" s="46" t="s">
        <v>146</v>
      </c>
    </row>
    <row r="515" customFormat="false" ht="15" hidden="false" customHeight="false" outlineLevel="1" collapsed="false">
      <c r="A515" s="33" t="str">
        <f aca="false">TEXT(SIP_Fund3_SBISmallcap!B5,"mmm-yyyy")</f>
        <v>Jan-2025</v>
      </c>
      <c r="B515" s="34" t="n">
        <f aca="false">SIP_Fund3_SBISmallcap!B5</f>
        <v>45658</v>
      </c>
      <c r="C515" s="35" t="n">
        <f aca="false">SIP_Fund3_SBISmallcap!C5</f>
        <v>3000</v>
      </c>
      <c r="D515" s="36" t="n">
        <f aca="false">SIP_Fund3_SBISmallcap!D5</f>
        <v>170</v>
      </c>
      <c r="E515" s="37" t="n">
        <f aca="false">SIP_Fund3_SBISmallcap!E5</f>
        <v>17.6470588235294</v>
      </c>
      <c r="F515" s="33" t="n">
        <f aca="false">Assumptions!$C$5-B515</f>
        <v>4031</v>
      </c>
      <c r="G515" s="36" t="n">
        <f aca="false">Assumptions!$D$23*(1+Assumptions!$F$23)^((Assumptions!$C$5-Assumptions!$C$4)/365)</f>
        <v>795.766940037429</v>
      </c>
      <c r="H515" s="35" t="n">
        <f aca="false">E515*G515</f>
        <v>14042.9460006605</v>
      </c>
      <c r="I515" s="47" t="n">
        <f aca="false">IF(F515&lt;365,Assumptions!$G$23,IF(F515&lt;=730,Assumptions!$H$23,Assumptions!$I$23))</f>
        <v>0</v>
      </c>
      <c r="J515" s="35" t="n">
        <f aca="false">H515*I515</f>
        <v>0</v>
      </c>
      <c r="K515" s="35" t="n">
        <f aca="false">H515-J515</f>
        <v>14042.9460006605</v>
      </c>
      <c r="L515" s="35" t="n">
        <f aca="false">K515-C515</f>
        <v>11042.9460006605</v>
      </c>
      <c r="M515" s="33" t="str">
        <f aca="false">IF(F515&gt;365,"LTCG","STCG")</f>
        <v>LTCG</v>
      </c>
      <c r="N515" s="47" t="n">
        <f aca="false">IF(M515="LTCG",Assumptions!$C$12,Assumptions!$C$11)</f>
        <v>0.125</v>
      </c>
      <c r="O515" s="33" t="str">
        <f aca="false">IF(M515="STCG",MAX(L515,0)*Assumptions!$C$11,"agg. below")</f>
        <v>agg. below</v>
      </c>
    </row>
    <row r="516" customFormat="false" ht="15" hidden="false" customHeight="false" outlineLevel="1" collapsed="false">
      <c r="A516" s="38" t="str">
        <f aca="false">TEXT(SIP_Fund3_SBISmallcap!B6,"mmm-yyyy")</f>
        <v>Feb-2025</v>
      </c>
      <c r="B516" s="39" t="n">
        <f aca="false">SIP_Fund3_SBISmallcap!B6</f>
        <v>45689</v>
      </c>
      <c r="C516" s="40" t="n">
        <f aca="false">SIP_Fund3_SBISmallcap!C6</f>
        <v>3000</v>
      </c>
      <c r="D516" s="41" t="n">
        <f aca="false">SIP_Fund3_SBISmallcap!D6</f>
        <v>172.029956856158</v>
      </c>
      <c r="E516" s="42" t="n">
        <f aca="false">SIP_Fund3_SBISmallcap!E6</f>
        <v>17.4388231841994</v>
      </c>
      <c r="F516" s="38" t="n">
        <f aca="false">Assumptions!$C$5-B516</f>
        <v>4000</v>
      </c>
      <c r="G516" s="41" t="n">
        <f aca="false">Assumptions!$D$23*(1+Assumptions!$F$23)^((Assumptions!$C$5-Assumptions!$C$4)/365)</f>
        <v>795.766940037429</v>
      </c>
      <c r="H516" s="40" t="n">
        <f aca="false">E516*G516</f>
        <v>13877.2389631441</v>
      </c>
      <c r="I516" s="48" t="n">
        <f aca="false">IF(F516&lt;365,Assumptions!$G$23,IF(F516&lt;=730,Assumptions!$H$23,Assumptions!$I$23))</f>
        <v>0</v>
      </c>
      <c r="J516" s="40" t="n">
        <f aca="false">H516*I516</f>
        <v>0</v>
      </c>
      <c r="K516" s="40" t="n">
        <f aca="false">H516-J516</f>
        <v>13877.2389631441</v>
      </c>
      <c r="L516" s="40" t="n">
        <f aca="false">K516-C516</f>
        <v>10877.2389631441</v>
      </c>
      <c r="M516" s="38" t="str">
        <f aca="false">IF(F516&gt;365,"LTCG","STCG")</f>
        <v>LTCG</v>
      </c>
      <c r="N516" s="48" t="n">
        <f aca="false">IF(M516="LTCG",Assumptions!$C$12,Assumptions!$C$11)</f>
        <v>0.125</v>
      </c>
      <c r="O516" s="38" t="str">
        <f aca="false">IF(M516="STCG",MAX(L516,0)*Assumptions!$C$11,"agg. below")</f>
        <v>agg. below</v>
      </c>
    </row>
    <row r="517" customFormat="false" ht="15" hidden="false" customHeight="false" outlineLevel="1" collapsed="false">
      <c r="A517" s="33" t="str">
        <f aca="false">TEXT(SIP_Fund3_SBISmallcap!B7,"mmm-yyyy")</f>
        <v>Mar-2025</v>
      </c>
      <c r="B517" s="34" t="n">
        <f aca="false">SIP_Fund3_SBISmallcap!B7</f>
        <v>45717</v>
      </c>
      <c r="C517" s="35" t="n">
        <f aca="false">SIP_Fund3_SBISmallcap!C7</f>
        <v>3000</v>
      </c>
      <c r="D517" s="36" t="n">
        <f aca="false">SIP_Fund3_SBISmallcap!D7</f>
        <v>173.884292692604</v>
      </c>
      <c r="E517" s="37" t="n">
        <f aca="false">SIP_Fund3_SBISmallcap!E7</f>
        <v>17.2528521900679</v>
      </c>
      <c r="F517" s="33" t="n">
        <f aca="false">Assumptions!$C$5-B517</f>
        <v>3972</v>
      </c>
      <c r="G517" s="36" t="n">
        <f aca="false">Assumptions!$D$23*(1+Assumptions!$F$23)^((Assumptions!$C$5-Assumptions!$C$4)/365)</f>
        <v>795.766940037429</v>
      </c>
      <c r="H517" s="35" t="n">
        <f aca="false">E517*G517</f>
        <v>13729.2493942084</v>
      </c>
      <c r="I517" s="47" t="n">
        <f aca="false">IF(F517&lt;365,Assumptions!$G$23,IF(F517&lt;=730,Assumptions!$H$23,Assumptions!$I$23))</f>
        <v>0</v>
      </c>
      <c r="J517" s="35" t="n">
        <f aca="false">H517*I517</f>
        <v>0</v>
      </c>
      <c r="K517" s="35" t="n">
        <f aca="false">H517-J517</f>
        <v>13729.2493942084</v>
      </c>
      <c r="L517" s="35" t="n">
        <f aca="false">K517-C517</f>
        <v>10729.2493942084</v>
      </c>
      <c r="M517" s="33" t="str">
        <f aca="false">IF(F517&gt;365,"LTCG","STCG")</f>
        <v>LTCG</v>
      </c>
      <c r="N517" s="47" t="n">
        <f aca="false">IF(M517="LTCG",Assumptions!$C$12,Assumptions!$C$11)</f>
        <v>0.125</v>
      </c>
      <c r="O517" s="33" t="str">
        <f aca="false">IF(M517="STCG",MAX(L517,0)*Assumptions!$C$11,"agg. below")</f>
        <v>agg. below</v>
      </c>
    </row>
    <row r="518" customFormat="false" ht="15" hidden="false" customHeight="false" outlineLevel="1" collapsed="false">
      <c r="A518" s="38" t="str">
        <f aca="false">TEXT(SIP_Fund3_SBISmallcap!B8,"mmm-yyyy")</f>
        <v>Apr-2025</v>
      </c>
      <c r="B518" s="39" t="n">
        <f aca="false">SIP_Fund3_SBISmallcap!B8</f>
        <v>45748</v>
      </c>
      <c r="C518" s="40" t="n">
        <f aca="false">SIP_Fund3_SBISmallcap!C8</f>
        <v>3000</v>
      </c>
      <c r="D518" s="41" t="n">
        <f aca="false">SIP_Fund3_SBISmallcap!D8</f>
        <v>175.960631587484</v>
      </c>
      <c r="E518" s="42" t="n">
        <f aca="false">SIP_Fund3_SBISmallcap!E8</f>
        <v>17.0492681967242</v>
      </c>
      <c r="F518" s="38" t="n">
        <f aca="false">Assumptions!$C$5-B518</f>
        <v>3941</v>
      </c>
      <c r="G518" s="41" t="n">
        <f aca="false">Assumptions!$D$23*(1+Assumptions!$F$23)^((Assumptions!$C$5-Assumptions!$C$4)/365)</f>
        <v>795.766940037429</v>
      </c>
      <c r="H518" s="40" t="n">
        <f aca="false">E518*G518</f>
        <v>13567.2439827847</v>
      </c>
      <c r="I518" s="48" t="n">
        <f aca="false">IF(F518&lt;365,Assumptions!$G$23,IF(F518&lt;=730,Assumptions!$H$23,Assumptions!$I$23))</f>
        <v>0</v>
      </c>
      <c r="J518" s="40" t="n">
        <f aca="false">H518*I518</f>
        <v>0</v>
      </c>
      <c r="K518" s="40" t="n">
        <f aca="false">H518-J518</f>
        <v>13567.2439827847</v>
      </c>
      <c r="L518" s="40" t="n">
        <f aca="false">K518-C518</f>
        <v>10567.2439827847</v>
      </c>
      <c r="M518" s="38" t="str">
        <f aca="false">IF(F518&gt;365,"LTCG","STCG")</f>
        <v>LTCG</v>
      </c>
      <c r="N518" s="48" t="n">
        <f aca="false">IF(M518="LTCG",Assumptions!$C$12,Assumptions!$C$11)</f>
        <v>0.125</v>
      </c>
      <c r="O518" s="38" t="str">
        <f aca="false">IF(M518="STCG",MAX(L518,0)*Assumptions!$C$11,"agg. below")</f>
        <v>agg. below</v>
      </c>
    </row>
    <row r="519" customFormat="false" ht="15" hidden="false" customHeight="false" outlineLevel="1" collapsed="false">
      <c r="A519" s="33" t="str">
        <f aca="false">TEXT(SIP_Fund3_SBISmallcap!B9,"mmm-yyyy")</f>
        <v>May-2025</v>
      </c>
      <c r="B519" s="34" t="n">
        <f aca="false">SIP_Fund3_SBISmallcap!B9</f>
        <v>45778</v>
      </c>
      <c r="C519" s="35" t="n">
        <f aca="false">SIP_Fund3_SBISmallcap!C9</f>
        <v>3000</v>
      </c>
      <c r="D519" s="36" t="n">
        <f aca="false">SIP_Fund3_SBISmallcap!D9</f>
        <v>177.99359540786</v>
      </c>
      <c r="E519" s="37" t="n">
        <f aca="false">SIP_Fund3_SBISmallcap!E9</f>
        <v>16.8545390249897</v>
      </c>
      <c r="F519" s="33" t="n">
        <f aca="false">Assumptions!$C$5-B519</f>
        <v>3911</v>
      </c>
      <c r="G519" s="36" t="n">
        <f aca="false">Assumptions!$D$23*(1+Assumptions!$F$23)^((Assumptions!$C$5-Assumptions!$C$4)/365)</f>
        <v>795.766940037429</v>
      </c>
      <c r="H519" s="35" t="n">
        <f aca="false">E519*G519</f>
        <v>13412.2849456575</v>
      </c>
      <c r="I519" s="47" t="n">
        <f aca="false">IF(F519&lt;365,Assumptions!$G$23,IF(F519&lt;=730,Assumptions!$H$23,Assumptions!$I$23))</f>
        <v>0</v>
      </c>
      <c r="J519" s="35" t="n">
        <f aca="false">H519*I519</f>
        <v>0</v>
      </c>
      <c r="K519" s="35" t="n">
        <f aca="false">H519-J519</f>
        <v>13412.2849456575</v>
      </c>
      <c r="L519" s="35" t="n">
        <f aca="false">K519-C519</f>
        <v>10412.2849456575</v>
      </c>
      <c r="M519" s="33" t="str">
        <f aca="false">IF(F519&gt;365,"LTCG","STCG")</f>
        <v>LTCG</v>
      </c>
      <c r="N519" s="47" t="n">
        <f aca="false">IF(M519="LTCG",Assumptions!$C$12,Assumptions!$C$11)</f>
        <v>0.125</v>
      </c>
      <c r="O519" s="33" t="str">
        <f aca="false">IF(M519="STCG",MAX(L519,0)*Assumptions!$C$11,"agg. below")</f>
        <v>agg. below</v>
      </c>
    </row>
    <row r="520" customFormat="false" ht="15" hidden="false" customHeight="false" outlineLevel="1" collapsed="false">
      <c r="A520" s="38" t="str">
        <f aca="false">TEXT(SIP_Fund3_SBISmallcap!B10,"mmm-yyyy")</f>
        <v>Jun-2025</v>
      </c>
      <c r="B520" s="39" t="n">
        <f aca="false">SIP_Fund3_SBISmallcap!B10</f>
        <v>45809</v>
      </c>
      <c r="C520" s="40" t="n">
        <f aca="false">SIP_Fund3_SBISmallcap!C10</f>
        <v>3000</v>
      </c>
      <c r="D520" s="41" t="n">
        <f aca="false">SIP_Fund3_SBISmallcap!D10</f>
        <v>180.119003168745</v>
      </c>
      <c r="E520" s="42" t="n">
        <f aca="false">SIP_Fund3_SBISmallcap!E10</f>
        <v>16.6556551347857</v>
      </c>
      <c r="F520" s="38" t="n">
        <f aca="false">Assumptions!$C$5-B520</f>
        <v>3880</v>
      </c>
      <c r="G520" s="41" t="n">
        <f aca="false">Assumptions!$D$23*(1+Assumptions!$F$23)^((Assumptions!$C$5-Assumptions!$C$4)/365)</f>
        <v>795.766940037429</v>
      </c>
      <c r="H520" s="40" t="n">
        <f aca="false">E520*G520</f>
        <v>13254.0197209271</v>
      </c>
      <c r="I520" s="48" t="n">
        <f aca="false">IF(F520&lt;365,Assumptions!$G$23,IF(F520&lt;=730,Assumptions!$H$23,Assumptions!$I$23))</f>
        <v>0</v>
      </c>
      <c r="J520" s="40" t="n">
        <f aca="false">H520*I520</f>
        <v>0</v>
      </c>
      <c r="K520" s="40" t="n">
        <f aca="false">H520-J520</f>
        <v>13254.0197209271</v>
      </c>
      <c r="L520" s="40" t="n">
        <f aca="false">K520-C520</f>
        <v>10254.0197209271</v>
      </c>
      <c r="M520" s="38" t="str">
        <f aca="false">IF(F520&gt;365,"LTCG","STCG")</f>
        <v>LTCG</v>
      </c>
      <c r="N520" s="48" t="n">
        <f aca="false">IF(M520="LTCG",Assumptions!$C$12,Assumptions!$C$11)</f>
        <v>0.125</v>
      </c>
      <c r="O520" s="38" t="str">
        <f aca="false">IF(M520="STCG",MAX(L520,0)*Assumptions!$C$11,"agg. below")</f>
        <v>agg. below</v>
      </c>
    </row>
    <row r="521" customFormat="false" ht="15" hidden="false" customHeight="false" outlineLevel="1" collapsed="false">
      <c r="A521" s="33" t="str">
        <f aca="false">TEXT(SIP_Fund3_SBISmallcap!B11,"mmm-yyyy")</f>
        <v>Jul-2025</v>
      </c>
      <c r="B521" s="34" t="n">
        <f aca="false">SIP_Fund3_SBISmallcap!B11</f>
        <v>45839</v>
      </c>
      <c r="C521" s="35" t="n">
        <f aca="false">SIP_Fund3_SBISmallcap!C11</f>
        <v>3000</v>
      </c>
      <c r="D521" s="36" t="n">
        <f aca="false">SIP_Fund3_SBISmallcap!D11</f>
        <v>182.200010798126</v>
      </c>
      <c r="E521" s="37" t="n">
        <f aca="false">SIP_Fund3_SBISmallcap!E11</f>
        <v>16.4654216366866</v>
      </c>
      <c r="F521" s="33" t="n">
        <f aca="false">Assumptions!$C$5-B521</f>
        <v>3850</v>
      </c>
      <c r="G521" s="36" t="n">
        <f aca="false">Assumptions!$D$23*(1+Assumptions!$F$23)^((Assumptions!$C$5-Assumptions!$C$4)/365)</f>
        <v>795.766940037429</v>
      </c>
      <c r="H521" s="35" t="n">
        <f aca="false">E521*G521</f>
        <v>13102.6381922522</v>
      </c>
      <c r="I521" s="47" t="n">
        <f aca="false">IF(F521&lt;365,Assumptions!$G$23,IF(F521&lt;=730,Assumptions!$H$23,Assumptions!$I$23))</f>
        <v>0</v>
      </c>
      <c r="J521" s="35" t="n">
        <f aca="false">H521*I521</f>
        <v>0</v>
      </c>
      <c r="K521" s="35" t="n">
        <f aca="false">H521-J521</f>
        <v>13102.6381922522</v>
      </c>
      <c r="L521" s="35" t="n">
        <f aca="false">K521-C521</f>
        <v>10102.6381922522</v>
      </c>
      <c r="M521" s="33" t="str">
        <f aca="false">IF(F521&gt;365,"LTCG","STCG")</f>
        <v>LTCG</v>
      </c>
      <c r="N521" s="47" t="n">
        <f aca="false">IF(M521="LTCG",Assumptions!$C$12,Assumptions!$C$11)</f>
        <v>0.125</v>
      </c>
      <c r="O521" s="33" t="str">
        <f aca="false">IF(M521="STCG",MAX(L521,0)*Assumptions!$C$11,"agg. below")</f>
        <v>agg. below</v>
      </c>
    </row>
    <row r="522" customFormat="false" ht="15" hidden="false" customHeight="false" outlineLevel="1" collapsed="false">
      <c r="A522" s="38" t="str">
        <f aca="false">TEXT(SIP_Fund3_SBISmallcap!B12,"mmm-yyyy")</f>
        <v>Aug-2025</v>
      </c>
      <c r="B522" s="39" t="n">
        <f aca="false">SIP_Fund3_SBISmallcap!B12</f>
        <v>45870</v>
      </c>
      <c r="C522" s="40" t="n">
        <f aca="false">SIP_Fund3_SBISmallcap!C12</f>
        <v>3000</v>
      </c>
      <c r="D522" s="41" t="n">
        <f aca="false">SIP_Fund3_SBISmallcap!D12</f>
        <v>184.37564703996</v>
      </c>
      <c r="E522" s="42" t="n">
        <f aca="false">SIP_Fund3_SBISmallcap!E12</f>
        <v>16.2711293392766</v>
      </c>
      <c r="F522" s="38" t="n">
        <f aca="false">Assumptions!$C$5-B522</f>
        <v>3819</v>
      </c>
      <c r="G522" s="41" t="n">
        <f aca="false">Assumptions!$D$23*(1+Assumptions!$F$23)^((Assumptions!$C$5-Assumptions!$C$4)/365)</f>
        <v>795.766940037429</v>
      </c>
      <c r="H522" s="40" t="n">
        <f aca="false">E522*G522</f>
        <v>12948.0268052694</v>
      </c>
      <c r="I522" s="48" t="n">
        <f aca="false">IF(F522&lt;365,Assumptions!$G$23,IF(F522&lt;=730,Assumptions!$H$23,Assumptions!$I$23))</f>
        <v>0</v>
      </c>
      <c r="J522" s="40" t="n">
        <f aca="false">H522*I522</f>
        <v>0</v>
      </c>
      <c r="K522" s="40" t="n">
        <f aca="false">H522-J522</f>
        <v>12948.0268052694</v>
      </c>
      <c r="L522" s="40" t="n">
        <f aca="false">K522-C522</f>
        <v>9948.02680526935</v>
      </c>
      <c r="M522" s="38" t="str">
        <f aca="false">IF(F522&gt;365,"LTCG","STCG")</f>
        <v>LTCG</v>
      </c>
      <c r="N522" s="48" t="n">
        <f aca="false">IF(M522="LTCG",Assumptions!$C$12,Assumptions!$C$11)</f>
        <v>0.125</v>
      </c>
      <c r="O522" s="38" t="str">
        <f aca="false">IF(M522="STCG",MAX(L522,0)*Assumptions!$C$11,"agg. below")</f>
        <v>agg. below</v>
      </c>
    </row>
    <row r="523" customFormat="false" ht="15" hidden="false" customHeight="false" outlineLevel="1" collapsed="false">
      <c r="A523" s="33" t="str">
        <f aca="false">TEXT(SIP_Fund3_SBISmallcap!B13,"mmm-yyyy")</f>
        <v>Sep-2025</v>
      </c>
      <c r="B523" s="34" t="n">
        <f aca="false">SIP_Fund3_SBISmallcap!B13</f>
        <v>45901</v>
      </c>
      <c r="C523" s="35" t="n">
        <f aca="false">SIP_Fund3_SBISmallcap!C13</f>
        <v>3000</v>
      </c>
      <c r="D523" s="36" t="n">
        <f aca="false">SIP_Fund3_SBISmallcap!D13</f>
        <v>186.577262385945</v>
      </c>
      <c r="E523" s="37" t="n">
        <f aca="false">SIP_Fund3_SBISmallcap!E13</f>
        <v>16.0791296947767</v>
      </c>
      <c r="F523" s="33" t="n">
        <f aca="false">Assumptions!$C$5-B523</f>
        <v>3788</v>
      </c>
      <c r="G523" s="36" t="n">
        <f aca="false">Assumptions!$D$23*(1+Assumptions!$F$23)^((Assumptions!$C$5-Assumptions!$C$4)/365)</f>
        <v>795.766940037429</v>
      </c>
      <c r="H523" s="35" t="n">
        <f aca="false">E523*G523</f>
        <v>12795.2398356774</v>
      </c>
      <c r="I523" s="47" t="n">
        <f aca="false">IF(F523&lt;365,Assumptions!$G$23,IF(F523&lt;=730,Assumptions!$H$23,Assumptions!$I$23))</f>
        <v>0</v>
      </c>
      <c r="J523" s="35" t="n">
        <f aca="false">H523*I523</f>
        <v>0</v>
      </c>
      <c r="K523" s="35" t="n">
        <f aca="false">H523-J523</f>
        <v>12795.2398356774</v>
      </c>
      <c r="L523" s="35" t="n">
        <f aca="false">K523-C523</f>
        <v>9795.23983567745</v>
      </c>
      <c r="M523" s="33" t="str">
        <f aca="false">IF(F523&gt;365,"LTCG","STCG")</f>
        <v>LTCG</v>
      </c>
      <c r="N523" s="47" t="n">
        <f aca="false">IF(M523="LTCG",Assumptions!$C$12,Assumptions!$C$11)</f>
        <v>0.125</v>
      </c>
      <c r="O523" s="33" t="str">
        <f aca="false">IF(M523="STCG",MAX(L523,0)*Assumptions!$C$11,"agg. below")</f>
        <v>agg. below</v>
      </c>
    </row>
    <row r="524" customFormat="false" ht="15" hidden="false" customHeight="false" outlineLevel="1" collapsed="false">
      <c r="A524" s="38" t="str">
        <f aca="false">TEXT(SIP_Fund3_SBISmallcap!B14,"mmm-yyyy")</f>
        <v>Oct-2025</v>
      </c>
      <c r="B524" s="39" t="n">
        <f aca="false">SIP_Fund3_SBISmallcap!B14</f>
        <v>45931</v>
      </c>
      <c r="C524" s="40" t="n">
        <f aca="false">SIP_Fund3_SBISmallcap!C14</f>
        <v>3000</v>
      </c>
      <c r="D524" s="41" t="n">
        <f aca="false">SIP_Fund3_SBISmallcap!D14</f>
        <v>188.732885610944</v>
      </c>
      <c r="E524" s="42" t="n">
        <f aca="false">SIP_Fund3_SBISmallcap!E14</f>
        <v>15.8954810142851</v>
      </c>
      <c r="F524" s="38" t="n">
        <f aca="false">Assumptions!$C$5-B524</f>
        <v>3758</v>
      </c>
      <c r="G524" s="41" t="n">
        <f aca="false">Assumptions!$D$23*(1+Assumptions!$F$23)^((Assumptions!$C$5-Assumptions!$C$4)/365)</f>
        <v>795.766940037429</v>
      </c>
      <c r="H524" s="40" t="n">
        <f aca="false">E524*G524</f>
        <v>12649.0982871607</v>
      </c>
      <c r="I524" s="48" t="n">
        <f aca="false">IF(F524&lt;365,Assumptions!$G$23,IF(F524&lt;=730,Assumptions!$H$23,Assumptions!$I$23))</f>
        <v>0</v>
      </c>
      <c r="J524" s="40" t="n">
        <f aca="false">H524*I524</f>
        <v>0</v>
      </c>
      <c r="K524" s="40" t="n">
        <f aca="false">H524-J524</f>
        <v>12649.0982871607</v>
      </c>
      <c r="L524" s="40" t="n">
        <f aca="false">K524-C524</f>
        <v>9649.0982871607</v>
      </c>
      <c r="M524" s="38" t="str">
        <f aca="false">IF(F524&gt;365,"LTCG","STCG")</f>
        <v>LTCG</v>
      </c>
      <c r="N524" s="48" t="n">
        <f aca="false">IF(M524="LTCG",Assumptions!$C$12,Assumptions!$C$11)</f>
        <v>0.125</v>
      </c>
      <c r="O524" s="38" t="str">
        <f aca="false">IF(M524="STCG",MAX(L524,0)*Assumptions!$C$11,"agg. below")</f>
        <v>agg. below</v>
      </c>
    </row>
    <row r="525" customFormat="false" ht="15" hidden="false" customHeight="false" outlineLevel="1" collapsed="false">
      <c r="A525" s="33" t="str">
        <f aca="false">TEXT(SIP_Fund3_SBISmallcap!B15,"mmm-yyyy")</f>
        <v>Nov-2025</v>
      </c>
      <c r="B525" s="34" t="n">
        <f aca="false">SIP_Fund3_SBISmallcap!B15</f>
        <v>45962</v>
      </c>
      <c r="C525" s="35" t="n">
        <f aca="false">SIP_Fund3_SBISmallcap!C15</f>
        <v>3000</v>
      </c>
      <c r="D525" s="36" t="n">
        <f aca="false">SIP_Fund3_SBISmallcap!D15</f>
        <v>190.986530405818</v>
      </c>
      <c r="E525" s="37" t="n">
        <f aca="false">SIP_Fund3_SBISmallcap!E15</f>
        <v>15.7079140273686</v>
      </c>
      <c r="F525" s="33" t="n">
        <f aca="false">Assumptions!$C$5-B525</f>
        <v>3727</v>
      </c>
      <c r="G525" s="36" t="n">
        <f aca="false">Assumptions!$D$23*(1+Assumptions!$F$23)^((Assumptions!$C$5-Assumptions!$C$4)/365)</f>
        <v>795.766940037429</v>
      </c>
      <c r="H525" s="35" t="n">
        <f aca="false">E525*G525</f>
        <v>12499.8386799301</v>
      </c>
      <c r="I525" s="47" t="n">
        <f aca="false">IF(F525&lt;365,Assumptions!$G$23,IF(F525&lt;=730,Assumptions!$H$23,Assumptions!$I$23))</f>
        <v>0</v>
      </c>
      <c r="J525" s="35" t="n">
        <f aca="false">H525*I525</f>
        <v>0</v>
      </c>
      <c r="K525" s="35" t="n">
        <f aca="false">H525-J525</f>
        <v>12499.8386799301</v>
      </c>
      <c r="L525" s="35" t="n">
        <f aca="false">K525-C525</f>
        <v>9499.83867993012</v>
      </c>
      <c r="M525" s="33" t="str">
        <f aca="false">IF(F525&gt;365,"LTCG","STCG")</f>
        <v>LTCG</v>
      </c>
      <c r="N525" s="47" t="n">
        <f aca="false">IF(M525="LTCG",Assumptions!$C$12,Assumptions!$C$11)</f>
        <v>0.125</v>
      </c>
      <c r="O525" s="33" t="str">
        <f aca="false">IF(M525="STCG",MAX(L525,0)*Assumptions!$C$11,"agg. below")</f>
        <v>agg. below</v>
      </c>
    </row>
    <row r="526" customFormat="false" ht="15" hidden="false" customHeight="false" outlineLevel="1" collapsed="false">
      <c r="A526" s="38" t="str">
        <f aca="false">TEXT(SIP_Fund3_SBISmallcap!B16,"mmm-yyyy")</f>
        <v>Dec-2025</v>
      </c>
      <c r="B526" s="39" t="n">
        <f aca="false">SIP_Fund3_SBISmallcap!B16</f>
        <v>45992</v>
      </c>
      <c r="C526" s="40" t="n">
        <f aca="false">SIP_Fund3_SBISmallcap!C16</f>
        <v>3000</v>
      </c>
      <c r="D526" s="41" t="n">
        <f aca="false">SIP_Fund3_SBISmallcap!D16</f>
        <v>193.193096175622</v>
      </c>
      <c r="E526" s="42" t="n">
        <f aca="false">SIP_Fund3_SBISmallcap!E16</f>
        <v>15.5285052074161</v>
      </c>
      <c r="F526" s="38" t="n">
        <f aca="false">Assumptions!$C$5-B526</f>
        <v>3697</v>
      </c>
      <c r="G526" s="41" t="n">
        <f aca="false">Assumptions!$D$23*(1+Assumptions!$F$23)^((Assumptions!$C$5-Assumptions!$C$4)/365)</f>
        <v>795.766940037429</v>
      </c>
      <c r="H526" s="40" t="n">
        <f aca="false">E526*G526</f>
        <v>12357.0710722608</v>
      </c>
      <c r="I526" s="48" t="n">
        <f aca="false">IF(F526&lt;365,Assumptions!$G$23,IF(F526&lt;=730,Assumptions!$H$23,Assumptions!$I$23))</f>
        <v>0</v>
      </c>
      <c r="J526" s="40" t="n">
        <f aca="false">H526*I526</f>
        <v>0</v>
      </c>
      <c r="K526" s="40" t="n">
        <f aca="false">H526-J526</f>
        <v>12357.0710722608</v>
      </c>
      <c r="L526" s="40" t="n">
        <f aca="false">K526-C526</f>
        <v>9357.07107226083</v>
      </c>
      <c r="M526" s="38" t="str">
        <f aca="false">IF(F526&gt;365,"LTCG","STCG")</f>
        <v>LTCG</v>
      </c>
      <c r="N526" s="48" t="n">
        <f aca="false">IF(M526="LTCG",Assumptions!$C$12,Assumptions!$C$11)</f>
        <v>0.125</v>
      </c>
      <c r="O526" s="38" t="str">
        <f aca="false">IF(M526="STCG",MAX(L526,0)*Assumptions!$C$11,"agg. below")</f>
        <v>agg. below</v>
      </c>
    </row>
    <row r="527" customFormat="false" ht="15" hidden="false" customHeight="false" outlineLevel="1" collapsed="false">
      <c r="A527" s="33" t="str">
        <f aca="false">TEXT(SIP_Fund3_SBISmallcap!B17,"mmm-yyyy")</f>
        <v>Jan-2026</v>
      </c>
      <c r="B527" s="34" t="n">
        <f aca="false">SIP_Fund3_SBISmallcap!B17</f>
        <v>46023</v>
      </c>
      <c r="C527" s="35" t="n">
        <f aca="false">SIP_Fund3_SBISmallcap!C17</f>
        <v>4000</v>
      </c>
      <c r="D527" s="36" t="n">
        <f aca="false">SIP_Fund3_SBISmallcap!D17</f>
        <v>195.5</v>
      </c>
      <c r="E527" s="37" t="n">
        <f aca="false">SIP_Fund3_SBISmallcap!E17</f>
        <v>20.460358056266</v>
      </c>
      <c r="F527" s="33" t="n">
        <f aca="false">Assumptions!$C$5-B527</f>
        <v>3666</v>
      </c>
      <c r="G527" s="36" t="n">
        <f aca="false">Assumptions!$D$23*(1+Assumptions!$F$23)^((Assumptions!$C$5-Assumptions!$C$4)/365)</f>
        <v>795.766940037429</v>
      </c>
      <c r="H527" s="35" t="n">
        <f aca="false">E527*G527</f>
        <v>16281.676522505</v>
      </c>
      <c r="I527" s="47" t="n">
        <f aca="false">IF(F527&lt;365,Assumptions!$G$23,IF(F527&lt;=730,Assumptions!$H$23,Assumptions!$I$23))</f>
        <v>0</v>
      </c>
      <c r="J527" s="35" t="n">
        <f aca="false">H527*I527</f>
        <v>0</v>
      </c>
      <c r="K527" s="35" t="n">
        <f aca="false">H527-J527</f>
        <v>16281.676522505</v>
      </c>
      <c r="L527" s="35" t="n">
        <f aca="false">K527-C527</f>
        <v>12281.676522505</v>
      </c>
      <c r="M527" s="33" t="str">
        <f aca="false">IF(F527&gt;365,"LTCG","STCG")</f>
        <v>LTCG</v>
      </c>
      <c r="N527" s="47" t="n">
        <f aca="false">IF(M527="LTCG",Assumptions!$C$12,Assumptions!$C$11)</f>
        <v>0.125</v>
      </c>
      <c r="O527" s="33" t="str">
        <f aca="false">IF(M527="STCG",MAX(L527,0)*Assumptions!$C$11,"agg. below")</f>
        <v>agg. below</v>
      </c>
    </row>
    <row r="528" customFormat="false" ht="15" hidden="false" customHeight="false" outlineLevel="1" collapsed="false">
      <c r="A528" s="38" t="str">
        <f aca="false">TEXT(SIP_Fund3_SBISmallcap!B18,"mmm-yyyy")</f>
        <v>Feb-2026</v>
      </c>
      <c r="B528" s="39" t="n">
        <f aca="false">SIP_Fund3_SBISmallcap!B18</f>
        <v>46054</v>
      </c>
      <c r="C528" s="40" t="n">
        <f aca="false">SIP_Fund3_SBISmallcap!C18</f>
        <v>4000</v>
      </c>
      <c r="D528" s="41" t="n">
        <f aca="false">SIP_Fund3_SBISmallcap!D18</f>
        <v>197.834450384582</v>
      </c>
      <c r="E528" s="42" t="n">
        <f aca="false">SIP_Fund3_SBISmallcap!E18</f>
        <v>20.2189254309558</v>
      </c>
      <c r="F528" s="38" t="n">
        <f aca="false">Assumptions!$C$5-B528</f>
        <v>3635</v>
      </c>
      <c r="G528" s="41" t="n">
        <f aca="false">Assumptions!$D$23*(1+Assumptions!$F$23)^((Assumptions!$C$5-Assumptions!$C$4)/365)</f>
        <v>795.766940037429</v>
      </c>
      <c r="H528" s="40" t="n">
        <f aca="false">E528*G528</f>
        <v>16089.5524210367</v>
      </c>
      <c r="I528" s="48" t="n">
        <f aca="false">IF(F528&lt;365,Assumptions!$G$23,IF(F528&lt;=730,Assumptions!$H$23,Assumptions!$I$23))</f>
        <v>0</v>
      </c>
      <c r="J528" s="40" t="n">
        <f aca="false">H528*I528</f>
        <v>0</v>
      </c>
      <c r="K528" s="40" t="n">
        <f aca="false">H528-J528</f>
        <v>16089.5524210367</v>
      </c>
      <c r="L528" s="40" t="n">
        <f aca="false">K528-C528</f>
        <v>12089.5524210367</v>
      </c>
      <c r="M528" s="38" t="str">
        <f aca="false">IF(F528&gt;365,"LTCG","STCG")</f>
        <v>LTCG</v>
      </c>
      <c r="N528" s="48" t="n">
        <f aca="false">IF(M528="LTCG",Assumptions!$C$12,Assumptions!$C$11)</f>
        <v>0.125</v>
      </c>
      <c r="O528" s="38" t="str">
        <f aca="false">IF(M528="STCG",MAX(L528,0)*Assumptions!$C$11,"agg. below")</f>
        <v>agg. below</v>
      </c>
    </row>
    <row r="529" customFormat="false" ht="15" hidden="false" customHeight="false" outlineLevel="1" collapsed="false">
      <c r="A529" s="33" t="str">
        <f aca="false">TEXT(SIP_Fund3_SBISmallcap!B19,"mmm-yyyy")</f>
        <v>Mar-2026</v>
      </c>
      <c r="B529" s="34" t="n">
        <f aca="false">SIP_Fund3_SBISmallcap!B19</f>
        <v>46082</v>
      </c>
      <c r="C529" s="35" t="n">
        <f aca="false">SIP_Fund3_SBISmallcap!C19</f>
        <v>4000</v>
      </c>
      <c r="D529" s="36" t="n">
        <f aca="false">SIP_Fund3_SBISmallcap!D19</f>
        <v>199.966936596494</v>
      </c>
      <c r="E529" s="37" t="n">
        <f aca="false">SIP_Fund3_SBISmallcap!E19</f>
        <v>20.0033068870353</v>
      </c>
      <c r="F529" s="33" t="n">
        <f aca="false">Assumptions!$C$5-B529</f>
        <v>3607</v>
      </c>
      <c r="G529" s="36" t="n">
        <f aca="false">Assumptions!$D$23*(1+Assumptions!$F$23)^((Assumptions!$C$5-Assumptions!$C$4)/365)</f>
        <v>795.766940037429</v>
      </c>
      <c r="H529" s="35" t="n">
        <f aca="false">E529*G529</f>
        <v>15917.9703121257</v>
      </c>
      <c r="I529" s="47" t="n">
        <f aca="false">IF(F529&lt;365,Assumptions!$G$23,IF(F529&lt;=730,Assumptions!$H$23,Assumptions!$I$23))</f>
        <v>0</v>
      </c>
      <c r="J529" s="35" t="n">
        <f aca="false">H529*I529</f>
        <v>0</v>
      </c>
      <c r="K529" s="35" t="n">
        <f aca="false">H529-J529</f>
        <v>15917.9703121257</v>
      </c>
      <c r="L529" s="35" t="n">
        <f aca="false">K529-C529</f>
        <v>11917.9703121257</v>
      </c>
      <c r="M529" s="33" t="str">
        <f aca="false">IF(F529&gt;365,"LTCG","STCG")</f>
        <v>LTCG</v>
      </c>
      <c r="N529" s="47" t="n">
        <f aca="false">IF(M529="LTCG",Assumptions!$C$12,Assumptions!$C$11)</f>
        <v>0.125</v>
      </c>
      <c r="O529" s="33" t="str">
        <f aca="false">IF(M529="STCG",MAX(L529,0)*Assumptions!$C$11,"agg. below")</f>
        <v>agg. below</v>
      </c>
    </row>
    <row r="530" customFormat="false" ht="15" hidden="false" customHeight="false" outlineLevel="1" collapsed="false">
      <c r="A530" s="38" t="str">
        <f aca="false">TEXT(SIP_Fund3_SBISmallcap!B20,"mmm-yyyy")</f>
        <v>Apr-2026</v>
      </c>
      <c r="B530" s="39" t="n">
        <f aca="false">SIP_Fund3_SBISmallcap!B20</f>
        <v>46113</v>
      </c>
      <c r="C530" s="40" t="n">
        <f aca="false">SIP_Fund3_SBISmallcap!C20</f>
        <v>4000</v>
      </c>
      <c r="D530" s="41" t="n">
        <f aca="false">SIP_Fund3_SBISmallcap!D20</f>
        <v>202.354726325607</v>
      </c>
      <c r="E530" s="42" t="n">
        <f aca="false">SIP_Fund3_SBISmallcap!E20</f>
        <v>19.7672674744629</v>
      </c>
      <c r="F530" s="38" t="n">
        <f aca="false">Assumptions!$C$5-B530</f>
        <v>3576</v>
      </c>
      <c r="G530" s="41" t="n">
        <f aca="false">Assumptions!$D$23*(1+Assumptions!$F$23)^((Assumptions!$C$5-Assumptions!$C$4)/365)</f>
        <v>795.766940037429</v>
      </c>
      <c r="H530" s="40" t="n">
        <f aca="false">E530*G530</f>
        <v>15730.1379510547</v>
      </c>
      <c r="I530" s="48" t="n">
        <f aca="false">IF(F530&lt;365,Assumptions!$G$23,IF(F530&lt;=730,Assumptions!$H$23,Assumptions!$I$23))</f>
        <v>0</v>
      </c>
      <c r="J530" s="40" t="n">
        <f aca="false">H530*I530</f>
        <v>0</v>
      </c>
      <c r="K530" s="40" t="n">
        <f aca="false">H530-J530</f>
        <v>15730.1379510547</v>
      </c>
      <c r="L530" s="40" t="n">
        <f aca="false">K530-C530</f>
        <v>11730.1379510547</v>
      </c>
      <c r="M530" s="38" t="str">
        <f aca="false">IF(F530&gt;365,"LTCG","STCG")</f>
        <v>LTCG</v>
      </c>
      <c r="N530" s="48" t="n">
        <f aca="false">IF(M530="LTCG",Assumptions!$C$12,Assumptions!$C$11)</f>
        <v>0.125</v>
      </c>
      <c r="O530" s="38" t="str">
        <f aca="false">IF(M530="STCG",MAX(L530,0)*Assumptions!$C$11,"agg. below")</f>
        <v>agg. below</v>
      </c>
    </row>
    <row r="531" customFormat="false" ht="15" hidden="false" customHeight="false" outlineLevel="1" collapsed="false">
      <c r="A531" s="33" t="str">
        <f aca="false">TEXT(SIP_Fund3_SBISmallcap!B21,"mmm-yyyy")</f>
        <v>May-2026</v>
      </c>
      <c r="B531" s="34" t="n">
        <f aca="false">SIP_Fund3_SBISmallcap!B21</f>
        <v>46143</v>
      </c>
      <c r="C531" s="35" t="n">
        <f aca="false">SIP_Fund3_SBISmallcap!C21</f>
        <v>4000</v>
      </c>
      <c r="D531" s="36" t="n">
        <f aca="false">SIP_Fund3_SBISmallcap!D21</f>
        <v>204.692634719039</v>
      </c>
      <c r="E531" s="37" t="n">
        <f aca="false">SIP_Fund3_SBISmallcap!E21</f>
        <v>19.5414945217272</v>
      </c>
      <c r="F531" s="33" t="n">
        <f aca="false">Assumptions!$C$5-B531</f>
        <v>3546</v>
      </c>
      <c r="G531" s="36" t="n">
        <f aca="false">Assumptions!$D$23*(1+Assumptions!$F$23)^((Assumptions!$C$5-Assumptions!$C$4)/365)</f>
        <v>795.766940037429</v>
      </c>
      <c r="H531" s="35" t="n">
        <f aca="false">E531*G531</f>
        <v>15550.475299313</v>
      </c>
      <c r="I531" s="47" t="n">
        <f aca="false">IF(F531&lt;365,Assumptions!$G$23,IF(F531&lt;=730,Assumptions!$H$23,Assumptions!$I$23))</f>
        <v>0</v>
      </c>
      <c r="J531" s="35" t="n">
        <f aca="false">H531*I531</f>
        <v>0</v>
      </c>
      <c r="K531" s="35" t="n">
        <f aca="false">H531-J531</f>
        <v>15550.475299313</v>
      </c>
      <c r="L531" s="35" t="n">
        <f aca="false">K531-C531</f>
        <v>11550.475299313</v>
      </c>
      <c r="M531" s="33" t="str">
        <f aca="false">IF(F531&gt;365,"LTCG","STCG")</f>
        <v>LTCG</v>
      </c>
      <c r="N531" s="47" t="n">
        <f aca="false">IF(M531="LTCG",Assumptions!$C$12,Assumptions!$C$11)</f>
        <v>0.125</v>
      </c>
      <c r="O531" s="33" t="str">
        <f aca="false">IF(M531="STCG",MAX(L531,0)*Assumptions!$C$11,"agg. below")</f>
        <v>agg. below</v>
      </c>
    </row>
    <row r="532" customFormat="false" ht="15" hidden="false" customHeight="false" outlineLevel="1" collapsed="false">
      <c r="A532" s="38" t="str">
        <f aca="false">TEXT(SIP_Fund3_SBISmallcap!B22,"mmm-yyyy")</f>
        <v>Jun-2026</v>
      </c>
      <c r="B532" s="39" t="n">
        <f aca="false">SIP_Fund3_SBISmallcap!B22</f>
        <v>46174</v>
      </c>
      <c r="C532" s="40" t="n">
        <f aca="false">SIP_Fund3_SBISmallcap!C22</f>
        <v>4000</v>
      </c>
      <c r="D532" s="41" t="n">
        <f aca="false">SIP_Fund3_SBISmallcap!D22</f>
        <v>207.136853644057</v>
      </c>
      <c r="E532" s="42" t="n">
        <f aca="false">SIP_Fund3_SBISmallcap!E22</f>
        <v>19.3109045040994</v>
      </c>
      <c r="F532" s="38" t="n">
        <f aca="false">Assumptions!$C$5-B532</f>
        <v>3515</v>
      </c>
      <c r="G532" s="41" t="n">
        <f aca="false">Assumptions!$D$23*(1+Assumptions!$F$23)^((Assumptions!$C$5-Assumptions!$C$4)/365)</f>
        <v>795.766940037429</v>
      </c>
      <c r="H532" s="40" t="n">
        <f aca="false">E532*G532</f>
        <v>15366.9793865822</v>
      </c>
      <c r="I532" s="48" t="n">
        <f aca="false">IF(F532&lt;365,Assumptions!$G$23,IF(F532&lt;=730,Assumptions!$H$23,Assumptions!$I$23))</f>
        <v>0</v>
      </c>
      <c r="J532" s="40" t="n">
        <f aca="false">H532*I532</f>
        <v>0</v>
      </c>
      <c r="K532" s="40" t="n">
        <f aca="false">H532-J532</f>
        <v>15366.9793865822</v>
      </c>
      <c r="L532" s="40" t="n">
        <f aca="false">K532-C532</f>
        <v>11366.9793865822</v>
      </c>
      <c r="M532" s="38" t="str">
        <f aca="false">IF(F532&gt;365,"LTCG","STCG")</f>
        <v>LTCG</v>
      </c>
      <c r="N532" s="48" t="n">
        <f aca="false">IF(M532="LTCG",Assumptions!$C$12,Assumptions!$C$11)</f>
        <v>0.125</v>
      </c>
      <c r="O532" s="38" t="str">
        <f aca="false">IF(M532="STCG",MAX(L532,0)*Assumptions!$C$11,"agg. below")</f>
        <v>agg. below</v>
      </c>
    </row>
    <row r="533" customFormat="false" ht="15" hidden="false" customHeight="false" outlineLevel="1" collapsed="false">
      <c r="A533" s="33" t="str">
        <f aca="false">TEXT(SIP_Fund3_SBISmallcap!B23,"mmm-yyyy")</f>
        <v>Jul-2026</v>
      </c>
      <c r="B533" s="34" t="n">
        <f aca="false">SIP_Fund3_SBISmallcap!B23</f>
        <v>46204</v>
      </c>
      <c r="C533" s="35" t="n">
        <f aca="false">SIP_Fund3_SBISmallcap!C23</f>
        <v>4000</v>
      </c>
      <c r="D533" s="36" t="n">
        <f aca="false">SIP_Fund3_SBISmallcap!D23</f>
        <v>209.530012417845</v>
      </c>
      <c r="E533" s="37" t="n">
        <f aca="false">SIP_Fund3_SBISmallcap!E23</f>
        <v>19.0903439265932</v>
      </c>
      <c r="F533" s="33" t="n">
        <f aca="false">Assumptions!$C$5-B533</f>
        <v>3485</v>
      </c>
      <c r="G533" s="36" t="n">
        <f aca="false">Assumptions!$D$23*(1+Assumptions!$F$23)^((Assumptions!$C$5-Assumptions!$C$4)/365)</f>
        <v>795.766940037429</v>
      </c>
      <c r="H533" s="35" t="n">
        <f aca="false">E533*G533</f>
        <v>15191.4645707272</v>
      </c>
      <c r="I533" s="47" t="n">
        <f aca="false">IF(F533&lt;365,Assumptions!$G$23,IF(F533&lt;=730,Assumptions!$H$23,Assumptions!$I$23))</f>
        <v>0</v>
      </c>
      <c r="J533" s="35" t="n">
        <f aca="false">H533*I533</f>
        <v>0</v>
      </c>
      <c r="K533" s="35" t="n">
        <f aca="false">H533-J533</f>
        <v>15191.4645707272</v>
      </c>
      <c r="L533" s="35" t="n">
        <f aca="false">K533-C533</f>
        <v>11191.4645707272</v>
      </c>
      <c r="M533" s="33" t="str">
        <f aca="false">IF(F533&gt;365,"LTCG","STCG")</f>
        <v>LTCG</v>
      </c>
      <c r="N533" s="47" t="n">
        <f aca="false">IF(M533="LTCG",Assumptions!$C$12,Assumptions!$C$11)</f>
        <v>0.125</v>
      </c>
      <c r="O533" s="33" t="str">
        <f aca="false">IF(M533="STCG",MAX(L533,0)*Assumptions!$C$11,"agg. below")</f>
        <v>agg. below</v>
      </c>
    </row>
    <row r="534" customFormat="false" ht="15" hidden="false" customHeight="false" outlineLevel="1" collapsed="false">
      <c r="A534" s="38" t="str">
        <f aca="false">TEXT(SIP_Fund3_SBISmallcap!B24,"mmm-yyyy")</f>
        <v>Aug-2026</v>
      </c>
      <c r="B534" s="39" t="n">
        <f aca="false">SIP_Fund3_SBISmallcap!B24</f>
        <v>46235</v>
      </c>
      <c r="C534" s="40" t="n">
        <f aca="false">SIP_Fund3_SBISmallcap!C24</f>
        <v>4000</v>
      </c>
      <c r="D534" s="41" t="n">
        <f aca="false">SIP_Fund3_SBISmallcap!D24</f>
        <v>212.031994095954</v>
      </c>
      <c r="E534" s="42" t="n">
        <f aca="false">SIP_Fund3_SBISmallcap!E24</f>
        <v>18.8650774948134</v>
      </c>
      <c r="F534" s="38" t="n">
        <f aca="false">Assumptions!$C$5-B534</f>
        <v>3454</v>
      </c>
      <c r="G534" s="41" t="n">
        <f aca="false">Assumptions!$D$23*(1+Assumptions!$F$23)^((Assumptions!$C$5-Assumptions!$C$4)/365)</f>
        <v>795.766940037429</v>
      </c>
      <c r="H534" s="40" t="n">
        <f aca="false">E534*G534</f>
        <v>15012.2049916166</v>
      </c>
      <c r="I534" s="48" t="n">
        <f aca="false">IF(F534&lt;365,Assumptions!$G$23,IF(F534&lt;=730,Assumptions!$H$23,Assumptions!$I$23))</f>
        <v>0</v>
      </c>
      <c r="J534" s="40" t="n">
        <f aca="false">H534*I534</f>
        <v>0</v>
      </c>
      <c r="K534" s="40" t="n">
        <f aca="false">H534-J534</f>
        <v>15012.2049916166</v>
      </c>
      <c r="L534" s="40" t="n">
        <f aca="false">K534-C534</f>
        <v>11012.2049916166</v>
      </c>
      <c r="M534" s="38" t="str">
        <f aca="false">IF(F534&gt;365,"LTCG","STCG")</f>
        <v>LTCG</v>
      </c>
      <c r="N534" s="48" t="n">
        <f aca="false">IF(M534="LTCG",Assumptions!$C$12,Assumptions!$C$11)</f>
        <v>0.125</v>
      </c>
      <c r="O534" s="38" t="str">
        <f aca="false">IF(M534="STCG",MAX(L534,0)*Assumptions!$C$11,"agg. below")</f>
        <v>agg. below</v>
      </c>
    </row>
    <row r="535" customFormat="false" ht="15" hidden="false" customHeight="false" outlineLevel="1" collapsed="false">
      <c r="A535" s="33" t="str">
        <f aca="false">TEXT(SIP_Fund3_SBISmallcap!B25,"mmm-yyyy")</f>
        <v>Sep-2026</v>
      </c>
      <c r="B535" s="34" t="n">
        <f aca="false">SIP_Fund3_SBISmallcap!B25</f>
        <v>46266</v>
      </c>
      <c r="C535" s="35" t="n">
        <f aca="false">SIP_Fund3_SBISmallcap!C25</f>
        <v>4000</v>
      </c>
      <c r="D535" s="36" t="n">
        <f aca="false">SIP_Fund3_SBISmallcap!D25</f>
        <v>214.563851743837</v>
      </c>
      <c r="E535" s="37" t="n">
        <f aca="false">SIP_Fund3_SBISmallcap!E25</f>
        <v>18.6424692113353</v>
      </c>
      <c r="F535" s="33" t="n">
        <f aca="false">Assumptions!$C$5-B535</f>
        <v>3423</v>
      </c>
      <c r="G535" s="36" t="n">
        <f aca="false">Assumptions!$D$23*(1+Assumptions!$F$23)^((Assumptions!$C$5-Assumptions!$C$4)/365)</f>
        <v>795.766940037429</v>
      </c>
      <c r="H535" s="35" t="n">
        <f aca="false">E535*G535</f>
        <v>14835.0606790463</v>
      </c>
      <c r="I535" s="47" t="n">
        <f aca="false">IF(F535&lt;365,Assumptions!$G$23,IF(F535&lt;=730,Assumptions!$H$23,Assumptions!$I$23))</f>
        <v>0</v>
      </c>
      <c r="J535" s="35" t="n">
        <f aca="false">H535*I535</f>
        <v>0</v>
      </c>
      <c r="K535" s="35" t="n">
        <f aca="false">H535-J535</f>
        <v>14835.0606790463</v>
      </c>
      <c r="L535" s="35" t="n">
        <f aca="false">K535-C535</f>
        <v>10835.0606790463</v>
      </c>
      <c r="M535" s="33" t="str">
        <f aca="false">IF(F535&gt;365,"LTCG","STCG")</f>
        <v>LTCG</v>
      </c>
      <c r="N535" s="47" t="n">
        <f aca="false">IF(M535="LTCG",Assumptions!$C$12,Assumptions!$C$11)</f>
        <v>0.125</v>
      </c>
      <c r="O535" s="33" t="str">
        <f aca="false">IF(M535="STCG",MAX(L535,0)*Assumptions!$C$11,"agg. below")</f>
        <v>agg. below</v>
      </c>
    </row>
    <row r="536" customFormat="false" ht="15" hidden="false" customHeight="false" outlineLevel="1" collapsed="false">
      <c r="A536" s="38" t="str">
        <f aca="false">TEXT(SIP_Fund3_SBISmallcap!B26,"mmm-yyyy")</f>
        <v>Oct-2026</v>
      </c>
      <c r="B536" s="39" t="n">
        <f aca="false">SIP_Fund3_SBISmallcap!B26</f>
        <v>46296</v>
      </c>
      <c r="C536" s="40" t="n">
        <f aca="false">SIP_Fund3_SBISmallcap!C26</f>
        <v>4000</v>
      </c>
      <c r="D536" s="41" t="n">
        <f aca="false">SIP_Fund3_SBISmallcap!D26</f>
        <v>217.042818452586</v>
      </c>
      <c r="E536" s="42" t="n">
        <f aca="false">SIP_Fund3_SBISmallcap!E26</f>
        <v>18.4295432049682</v>
      </c>
      <c r="F536" s="38" t="n">
        <f aca="false">Assumptions!$C$5-B536</f>
        <v>3393</v>
      </c>
      <c r="G536" s="41" t="n">
        <f aca="false">Assumptions!$D$23*(1+Assumptions!$F$23)^((Assumptions!$C$5-Assumptions!$C$4)/365)</f>
        <v>795.766940037429</v>
      </c>
      <c r="H536" s="40" t="n">
        <f aca="false">E536*G536</f>
        <v>14665.6212025052</v>
      </c>
      <c r="I536" s="48" t="n">
        <f aca="false">IF(F536&lt;365,Assumptions!$G$23,IF(F536&lt;=730,Assumptions!$H$23,Assumptions!$I$23))</f>
        <v>0</v>
      </c>
      <c r="J536" s="40" t="n">
        <f aca="false">H536*I536</f>
        <v>0</v>
      </c>
      <c r="K536" s="40" t="n">
        <f aca="false">H536-J536</f>
        <v>14665.6212025052</v>
      </c>
      <c r="L536" s="40" t="n">
        <f aca="false">K536-C536</f>
        <v>10665.6212025052</v>
      </c>
      <c r="M536" s="38" t="str">
        <f aca="false">IF(F536&gt;365,"LTCG","STCG")</f>
        <v>LTCG</v>
      </c>
      <c r="N536" s="48" t="n">
        <f aca="false">IF(M536="LTCG",Assumptions!$C$12,Assumptions!$C$11)</f>
        <v>0.125</v>
      </c>
      <c r="O536" s="38" t="str">
        <f aca="false">IF(M536="STCG",MAX(L536,0)*Assumptions!$C$11,"agg. below")</f>
        <v>agg. below</v>
      </c>
    </row>
    <row r="537" customFormat="false" ht="15" hidden="false" customHeight="false" outlineLevel="1" collapsed="false">
      <c r="A537" s="33" t="str">
        <f aca="false">TEXT(SIP_Fund3_SBISmallcap!B27,"mmm-yyyy")</f>
        <v>Nov-2026</v>
      </c>
      <c r="B537" s="34" t="n">
        <f aca="false">SIP_Fund3_SBISmallcap!B27</f>
        <v>46327</v>
      </c>
      <c r="C537" s="35" t="n">
        <f aca="false">SIP_Fund3_SBISmallcap!C27</f>
        <v>4000</v>
      </c>
      <c r="D537" s="36" t="n">
        <f aca="false">SIP_Fund3_SBISmallcap!D27</f>
        <v>219.63450996669</v>
      </c>
      <c r="E537" s="37" t="n">
        <f aca="false">SIP_Fund3_SBISmallcap!E27</f>
        <v>18.2120742346303</v>
      </c>
      <c r="F537" s="33" t="n">
        <f aca="false">Assumptions!$C$5-B537</f>
        <v>3362</v>
      </c>
      <c r="G537" s="36" t="n">
        <f aca="false">Assumptions!$D$23*(1+Assumptions!$F$23)^((Assumptions!$C$5-Assumptions!$C$4)/365)</f>
        <v>795.766940037429</v>
      </c>
      <c r="H537" s="35" t="n">
        <f aca="false">E537*G537</f>
        <v>14492.5665854262</v>
      </c>
      <c r="I537" s="47" t="n">
        <f aca="false">IF(F537&lt;365,Assumptions!$G$23,IF(F537&lt;=730,Assumptions!$H$23,Assumptions!$I$23))</f>
        <v>0</v>
      </c>
      <c r="J537" s="35" t="n">
        <f aca="false">H537*I537</f>
        <v>0</v>
      </c>
      <c r="K537" s="35" t="n">
        <f aca="false">H537-J537</f>
        <v>14492.5665854262</v>
      </c>
      <c r="L537" s="35" t="n">
        <f aca="false">K537-C537</f>
        <v>10492.5665854262</v>
      </c>
      <c r="M537" s="33" t="str">
        <f aca="false">IF(F537&gt;365,"LTCG","STCG")</f>
        <v>LTCG</v>
      </c>
      <c r="N537" s="47" t="n">
        <f aca="false">IF(M537="LTCG",Assumptions!$C$12,Assumptions!$C$11)</f>
        <v>0.125</v>
      </c>
      <c r="O537" s="33" t="str">
        <f aca="false">IF(M537="STCG",MAX(L537,0)*Assumptions!$C$11,"agg. below")</f>
        <v>agg. below</v>
      </c>
    </row>
    <row r="538" customFormat="false" ht="15" hidden="false" customHeight="false" outlineLevel="1" collapsed="false">
      <c r="A538" s="38" t="str">
        <f aca="false">TEXT(SIP_Fund3_SBISmallcap!B28,"mmm-yyyy")</f>
        <v>Dec-2026</v>
      </c>
      <c r="B538" s="39" t="n">
        <f aca="false">SIP_Fund3_SBISmallcap!B28</f>
        <v>46357</v>
      </c>
      <c r="C538" s="40" t="n">
        <f aca="false">SIP_Fund3_SBISmallcap!C28</f>
        <v>4000</v>
      </c>
      <c r="D538" s="41" t="n">
        <f aca="false">SIP_Fund3_SBISmallcap!D28</f>
        <v>222.172060601966</v>
      </c>
      <c r="E538" s="42" t="n">
        <f aca="false">SIP_Fund3_SBISmallcap!E28</f>
        <v>18.0040640085984</v>
      </c>
      <c r="F538" s="38" t="n">
        <f aca="false">Assumptions!$C$5-B538</f>
        <v>3332</v>
      </c>
      <c r="G538" s="41" t="n">
        <f aca="false">Assumptions!$D$23*(1+Assumptions!$F$23)^((Assumptions!$C$5-Assumptions!$C$4)/365)</f>
        <v>795.766940037429</v>
      </c>
      <c r="H538" s="40" t="n">
        <f aca="false">E538*G538</f>
        <v>14327.0389243604</v>
      </c>
      <c r="I538" s="48" t="n">
        <f aca="false">IF(F538&lt;365,Assumptions!$G$23,IF(F538&lt;=730,Assumptions!$H$23,Assumptions!$I$23))</f>
        <v>0</v>
      </c>
      <c r="J538" s="40" t="n">
        <f aca="false">H538*I538</f>
        <v>0</v>
      </c>
      <c r="K538" s="40" t="n">
        <f aca="false">H538-J538</f>
        <v>14327.0389243604</v>
      </c>
      <c r="L538" s="40" t="n">
        <f aca="false">K538-C538</f>
        <v>10327.0389243604</v>
      </c>
      <c r="M538" s="38" t="str">
        <f aca="false">IF(F538&gt;365,"LTCG","STCG")</f>
        <v>LTCG</v>
      </c>
      <c r="N538" s="48" t="n">
        <f aca="false">IF(M538="LTCG",Assumptions!$C$12,Assumptions!$C$11)</f>
        <v>0.125</v>
      </c>
      <c r="O538" s="38" t="str">
        <f aca="false">IF(M538="STCG",MAX(L538,0)*Assumptions!$C$11,"agg. below")</f>
        <v>agg. below</v>
      </c>
    </row>
    <row r="539" customFormat="false" ht="15" hidden="false" customHeight="false" outlineLevel="1" collapsed="false">
      <c r="A539" s="33" t="str">
        <f aca="false">TEXT(SIP_Fund3_SBISmallcap!B29,"mmm-yyyy")</f>
        <v>Jan-2027</v>
      </c>
      <c r="B539" s="34" t="n">
        <f aca="false">SIP_Fund3_SBISmallcap!B29</f>
        <v>46388</v>
      </c>
      <c r="C539" s="35" t="n">
        <f aca="false">SIP_Fund3_SBISmallcap!C29</f>
        <v>5000</v>
      </c>
      <c r="D539" s="36" t="n">
        <f aca="false">SIP_Fund3_SBISmallcap!D29</f>
        <v>224.825</v>
      </c>
      <c r="E539" s="37" t="n">
        <f aca="false">SIP_Fund3_SBISmallcap!E29</f>
        <v>22.2395196263761</v>
      </c>
      <c r="F539" s="33" t="n">
        <f aca="false">Assumptions!$C$5-B539</f>
        <v>3301</v>
      </c>
      <c r="G539" s="36" t="n">
        <f aca="false">Assumptions!$D$23*(1+Assumptions!$F$23)^((Assumptions!$C$5-Assumptions!$C$4)/365)</f>
        <v>795.766940037429</v>
      </c>
      <c r="H539" s="35" t="n">
        <f aca="false">E539*G539</f>
        <v>17697.4744809836</v>
      </c>
      <c r="I539" s="47" t="n">
        <f aca="false">IF(F539&lt;365,Assumptions!$G$23,IF(F539&lt;=730,Assumptions!$H$23,Assumptions!$I$23))</f>
        <v>0</v>
      </c>
      <c r="J539" s="35" t="n">
        <f aca="false">H539*I539</f>
        <v>0</v>
      </c>
      <c r="K539" s="35" t="n">
        <f aca="false">H539-J539</f>
        <v>17697.4744809836</v>
      </c>
      <c r="L539" s="35" t="n">
        <f aca="false">K539-C539</f>
        <v>12697.4744809836</v>
      </c>
      <c r="M539" s="33" t="str">
        <f aca="false">IF(F539&gt;365,"LTCG","STCG")</f>
        <v>LTCG</v>
      </c>
      <c r="N539" s="47" t="n">
        <f aca="false">IF(M539="LTCG",Assumptions!$C$12,Assumptions!$C$11)</f>
        <v>0.125</v>
      </c>
      <c r="O539" s="33" t="str">
        <f aca="false">IF(M539="STCG",MAX(L539,0)*Assumptions!$C$11,"agg. below")</f>
        <v>agg. below</v>
      </c>
    </row>
    <row r="540" customFormat="false" ht="15" hidden="false" customHeight="false" outlineLevel="1" collapsed="false">
      <c r="A540" s="38" t="str">
        <f aca="false">TEXT(SIP_Fund3_SBISmallcap!B30,"mmm-yyyy")</f>
        <v>Feb-2027</v>
      </c>
      <c r="B540" s="39" t="n">
        <f aca="false">SIP_Fund3_SBISmallcap!B30</f>
        <v>46419</v>
      </c>
      <c r="C540" s="40" t="n">
        <f aca="false">SIP_Fund3_SBISmallcap!C30</f>
        <v>5000</v>
      </c>
      <c r="D540" s="41" t="n">
        <f aca="false">SIP_Fund3_SBISmallcap!D30</f>
        <v>227.50961794227</v>
      </c>
      <c r="E540" s="42" t="n">
        <f aca="false">SIP_Fund3_SBISmallcap!E30</f>
        <v>21.9770928597346</v>
      </c>
      <c r="F540" s="38" t="n">
        <f aca="false">Assumptions!$C$5-B540</f>
        <v>3270</v>
      </c>
      <c r="G540" s="41" t="n">
        <f aca="false">Assumptions!$D$23*(1+Assumptions!$F$23)^((Assumptions!$C$5-Assumptions!$C$4)/365)</f>
        <v>795.766940037429</v>
      </c>
      <c r="H540" s="40" t="n">
        <f aca="false">E540*G540</f>
        <v>17488.6439359094</v>
      </c>
      <c r="I540" s="48" t="n">
        <f aca="false">IF(F540&lt;365,Assumptions!$G$23,IF(F540&lt;=730,Assumptions!$H$23,Assumptions!$I$23))</f>
        <v>0</v>
      </c>
      <c r="J540" s="40" t="n">
        <f aca="false">H540*I540</f>
        <v>0</v>
      </c>
      <c r="K540" s="40" t="n">
        <f aca="false">H540-J540</f>
        <v>17488.6439359094</v>
      </c>
      <c r="L540" s="40" t="n">
        <f aca="false">K540-C540</f>
        <v>12488.6439359094</v>
      </c>
      <c r="M540" s="38" t="str">
        <f aca="false">IF(F540&gt;365,"LTCG","STCG")</f>
        <v>LTCG</v>
      </c>
      <c r="N540" s="48" t="n">
        <f aca="false">IF(M540="LTCG",Assumptions!$C$12,Assumptions!$C$11)</f>
        <v>0.125</v>
      </c>
      <c r="O540" s="38" t="str">
        <f aca="false">IF(M540="STCG",MAX(L540,0)*Assumptions!$C$11,"agg. below")</f>
        <v>agg. below</v>
      </c>
    </row>
    <row r="541" customFormat="false" ht="15" hidden="false" customHeight="false" outlineLevel="1" collapsed="false">
      <c r="A541" s="33" t="str">
        <f aca="false">TEXT(SIP_Fund3_SBISmallcap!B31,"mmm-yyyy")</f>
        <v>Mar-2027</v>
      </c>
      <c r="B541" s="34" t="n">
        <f aca="false">SIP_Fund3_SBISmallcap!B31</f>
        <v>46447</v>
      </c>
      <c r="C541" s="35" t="n">
        <f aca="false">SIP_Fund3_SBISmallcap!C31</f>
        <v>5000</v>
      </c>
      <c r="D541" s="36" t="n">
        <f aca="false">SIP_Fund3_SBISmallcap!D31</f>
        <v>229.961977085969</v>
      </c>
      <c r="E541" s="37" t="n">
        <f aca="false">SIP_Fund3_SBISmallcap!E31</f>
        <v>21.7427248772122</v>
      </c>
      <c r="F541" s="33" t="n">
        <f aca="false">Assumptions!$C$5-B541</f>
        <v>3242</v>
      </c>
      <c r="G541" s="36" t="n">
        <f aca="false">Assumptions!$D$23*(1+Assumptions!$F$23)^((Assumptions!$C$5-Assumptions!$C$4)/365)</f>
        <v>795.766940037429</v>
      </c>
      <c r="H541" s="35" t="n">
        <f aca="false">E541*G541</f>
        <v>17302.1416436149</v>
      </c>
      <c r="I541" s="47" t="n">
        <f aca="false">IF(F541&lt;365,Assumptions!$G$23,IF(F541&lt;=730,Assumptions!$H$23,Assumptions!$I$23))</f>
        <v>0</v>
      </c>
      <c r="J541" s="35" t="n">
        <f aca="false">H541*I541</f>
        <v>0</v>
      </c>
      <c r="K541" s="35" t="n">
        <f aca="false">H541-J541</f>
        <v>17302.1416436149</v>
      </c>
      <c r="L541" s="35" t="n">
        <f aca="false">K541-C541</f>
        <v>12302.1416436149</v>
      </c>
      <c r="M541" s="33" t="str">
        <f aca="false">IF(F541&gt;365,"LTCG","STCG")</f>
        <v>LTCG</v>
      </c>
      <c r="N541" s="47" t="n">
        <f aca="false">IF(M541="LTCG",Assumptions!$C$12,Assumptions!$C$11)</f>
        <v>0.125</v>
      </c>
      <c r="O541" s="33" t="str">
        <f aca="false">IF(M541="STCG",MAX(L541,0)*Assumptions!$C$11,"agg. below")</f>
        <v>agg. below</v>
      </c>
    </row>
    <row r="542" customFormat="false" ht="15" hidden="false" customHeight="false" outlineLevel="1" collapsed="false">
      <c r="A542" s="38" t="str">
        <f aca="false">TEXT(SIP_Fund3_SBISmallcap!B32,"mmm-yyyy")</f>
        <v>Apr-2027</v>
      </c>
      <c r="B542" s="39" t="n">
        <f aca="false">SIP_Fund3_SBISmallcap!B32</f>
        <v>46478</v>
      </c>
      <c r="C542" s="40" t="n">
        <f aca="false">SIP_Fund3_SBISmallcap!C32</f>
        <v>5000</v>
      </c>
      <c r="D542" s="41" t="n">
        <f aca="false">SIP_Fund3_SBISmallcap!D32</f>
        <v>232.707935274448</v>
      </c>
      <c r="E542" s="42" t="n">
        <f aca="false">SIP_Fund3_SBISmallcap!E32</f>
        <v>21.4861602983292</v>
      </c>
      <c r="F542" s="38" t="n">
        <f aca="false">Assumptions!$C$5-B542</f>
        <v>3211</v>
      </c>
      <c r="G542" s="41" t="n">
        <f aca="false">Assumptions!$D$23*(1+Assumptions!$F$23)^((Assumptions!$C$5-Assumptions!$C$4)/365)</f>
        <v>795.766940037429</v>
      </c>
      <c r="H542" s="40" t="n">
        <f aca="false">E542*G542</f>
        <v>17097.9760337551</v>
      </c>
      <c r="I542" s="48" t="n">
        <f aca="false">IF(F542&lt;365,Assumptions!$G$23,IF(F542&lt;=730,Assumptions!$H$23,Assumptions!$I$23))</f>
        <v>0</v>
      </c>
      <c r="J542" s="40" t="n">
        <f aca="false">H542*I542</f>
        <v>0</v>
      </c>
      <c r="K542" s="40" t="n">
        <f aca="false">H542-J542</f>
        <v>17097.9760337551</v>
      </c>
      <c r="L542" s="40" t="n">
        <f aca="false">K542-C542</f>
        <v>12097.9760337551</v>
      </c>
      <c r="M542" s="38" t="str">
        <f aca="false">IF(F542&gt;365,"LTCG","STCG")</f>
        <v>LTCG</v>
      </c>
      <c r="N542" s="48" t="n">
        <f aca="false">IF(M542="LTCG",Assumptions!$C$12,Assumptions!$C$11)</f>
        <v>0.125</v>
      </c>
      <c r="O542" s="38" t="str">
        <f aca="false">IF(M542="STCG",MAX(L542,0)*Assumptions!$C$11,"agg. below")</f>
        <v>agg. below</v>
      </c>
    </row>
    <row r="543" customFormat="false" ht="15" hidden="false" customHeight="false" outlineLevel="1" collapsed="false">
      <c r="A543" s="33" t="str">
        <f aca="false">TEXT(SIP_Fund3_SBISmallcap!B33,"mmm-yyyy")</f>
        <v>May-2027</v>
      </c>
      <c r="B543" s="34" t="n">
        <f aca="false">SIP_Fund3_SBISmallcap!B33</f>
        <v>46508</v>
      </c>
      <c r="C543" s="35" t="n">
        <f aca="false">SIP_Fund3_SBISmallcap!C33</f>
        <v>5000</v>
      </c>
      <c r="D543" s="36" t="n">
        <f aca="false">SIP_Fund3_SBISmallcap!D33</f>
        <v>235.396529926895</v>
      </c>
      <c r="E543" s="37" t="n">
        <f aca="false">SIP_Fund3_SBISmallcap!E33</f>
        <v>21.2407549149208</v>
      </c>
      <c r="F543" s="33" t="n">
        <f aca="false">Assumptions!$C$5-B543</f>
        <v>3181</v>
      </c>
      <c r="G543" s="36" t="n">
        <f aca="false">Assumptions!$D$23*(1+Assumptions!$F$23)^((Assumptions!$C$5-Assumptions!$C$4)/365)</f>
        <v>795.766940037429</v>
      </c>
      <c r="H543" s="35" t="n">
        <f aca="false">E543*G543</f>
        <v>16902.6905427315</v>
      </c>
      <c r="I543" s="47" t="n">
        <f aca="false">IF(F543&lt;365,Assumptions!$G$23,IF(F543&lt;=730,Assumptions!$H$23,Assumptions!$I$23))</f>
        <v>0</v>
      </c>
      <c r="J543" s="35" t="n">
        <f aca="false">H543*I543</f>
        <v>0</v>
      </c>
      <c r="K543" s="35" t="n">
        <f aca="false">H543-J543</f>
        <v>16902.6905427315</v>
      </c>
      <c r="L543" s="35" t="n">
        <f aca="false">K543-C543</f>
        <v>11902.6905427315</v>
      </c>
      <c r="M543" s="33" t="str">
        <f aca="false">IF(F543&gt;365,"LTCG","STCG")</f>
        <v>LTCG</v>
      </c>
      <c r="N543" s="47" t="n">
        <f aca="false">IF(M543="LTCG",Assumptions!$C$12,Assumptions!$C$11)</f>
        <v>0.125</v>
      </c>
      <c r="O543" s="33" t="str">
        <f aca="false">IF(M543="STCG",MAX(L543,0)*Assumptions!$C$11,"agg. below")</f>
        <v>agg. below</v>
      </c>
    </row>
    <row r="544" customFormat="false" ht="15" hidden="false" customHeight="false" outlineLevel="1" collapsed="false">
      <c r="A544" s="38" t="str">
        <f aca="false">TEXT(SIP_Fund3_SBISmallcap!B34,"mmm-yyyy")</f>
        <v>Jun-2027</v>
      </c>
      <c r="B544" s="39" t="n">
        <f aca="false">SIP_Fund3_SBISmallcap!B34</f>
        <v>46539</v>
      </c>
      <c r="C544" s="40" t="n">
        <f aca="false">SIP_Fund3_SBISmallcap!C34</f>
        <v>5000</v>
      </c>
      <c r="D544" s="41" t="n">
        <f aca="false">SIP_Fund3_SBISmallcap!D34</f>
        <v>238.207381690666</v>
      </c>
      <c r="E544" s="42" t="n">
        <f aca="false">SIP_Fund3_SBISmallcap!E34</f>
        <v>20.9901135914124</v>
      </c>
      <c r="F544" s="38" t="n">
        <f aca="false">Assumptions!$C$5-B544</f>
        <v>3150</v>
      </c>
      <c r="G544" s="41" t="n">
        <f aca="false">Assumptions!$D$23*(1+Assumptions!$F$23)^((Assumptions!$C$5-Assumptions!$C$4)/365)</f>
        <v>795.766940037429</v>
      </c>
      <c r="H544" s="40" t="n">
        <f aca="false">E544*G544</f>
        <v>16703.2384636763</v>
      </c>
      <c r="I544" s="48" t="n">
        <f aca="false">IF(F544&lt;365,Assumptions!$G$23,IF(F544&lt;=730,Assumptions!$H$23,Assumptions!$I$23))</f>
        <v>0</v>
      </c>
      <c r="J544" s="40" t="n">
        <f aca="false">H544*I544</f>
        <v>0</v>
      </c>
      <c r="K544" s="40" t="n">
        <f aca="false">H544-J544</f>
        <v>16703.2384636763</v>
      </c>
      <c r="L544" s="40" t="n">
        <f aca="false">K544-C544</f>
        <v>11703.2384636763</v>
      </c>
      <c r="M544" s="38" t="str">
        <f aca="false">IF(F544&gt;365,"LTCG","STCG")</f>
        <v>LTCG</v>
      </c>
      <c r="N544" s="48" t="n">
        <f aca="false">IF(M544="LTCG",Assumptions!$C$12,Assumptions!$C$11)</f>
        <v>0.125</v>
      </c>
      <c r="O544" s="38" t="str">
        <f aca="false">IF(M544="STCG",MAX(L544,0)*Assumptions!$C$11,"agg. below")</f>
        <v>agg. below</v>
      </c>
    </row>
    <row r="545" customFormat="false" ht="15" hidden="false" customHeight="false" outlineLevel="1" collapsed="false">
      <c r="A545" s="33" t="str">
        <f aca="false">TEXT(SIP_Fund3_SBISmallcap!B35,"mmm-yyyy")</f>
        <v>Jul-2027</v>
      </c>
      <c r="B545" s="34" t="n">
        <f aca="false">SIP_Fund3_SBISmallcap!B35</f>
        <v>46569</v>
      </c>
      <c r="C545" s="35" t="n">
        <f aca="false">SIP_Fund3_SBISmallcap!C35</f>
        <v>5000</v>
      </c>
      <c r="D545" s="36" t="n">
        <f aca="false">SIP_Fund3_SBISmallcap!D35</f>
        <v>240.959514280522</v>
      </c>
      <c r="E545" s="37" t="n">
        <f aca="false">SIP_Fund3_SBISmallcap!E35</f>
        <v>20.7503738332534</v>
      </c>
      <c r="F545" s="33" t="n">
        <f aca="false">Assumptions!$C$5-B545</f>
        <v>3120</v>
      </c>
      <c r="G545" s="36" t="n">
        <f aca="false">Assumptions!$D$23*(1+Assumptions!$F$23)^((Assumptions!$C$5-Assumptions!$C$4)/365)</f>
        <v>795.766940037429</v>
      </c>
      <c r="H545" s="35" t="n">
        <f aca="false">E545*G545</f>
        <v>16512.4614899208</v>
      </c>
      <c r="I545" s="47" t="n">
        <f aca="false">IF(F545&lt;365,Assumptions!$G$23,IF(F545&lt;=730,Assumptions!$H$23,Assumptions!$I$23))</f>
        <v>0</v>
      </c>
      <c r="J545" s="35" t="n">
        <f aca="false">H545*I545</f>
        <v>0</v>
      </c>
      <c r="K545" s="35" t="n">
        <f aca="false">H545-J545</f>
        <v>16512.4614899208</v>
      </c>
      <c r="L545" s="35" t="n">
        <f aca="false">K545-C545</f>
        <v>11512.4614899208</v>
      </c>
      <c r="M545" s="33" t="str">
        <f aca="false">IF(F545&gt;365,"LTCG","STCG")</f>
        <v>LTCG</v>
      </c>
      <c r="N545" s="47" t="n">
        <f aca="false">IF(M545="LTCG",Assumptions!$C$12,Assumptions!$C$11)</f>
        <v>0.125</v>
      </c>
      <c r="O545" s="33" t="str">
        <f aca="false">IF(M545="STCG",MAX(L545,0)*Assumptions!$C$11,"agg. below")</f>
        <v>agg. below</v>
      </c>
    </row>
    <row r="546" customFormat="false" ht="15" hidden="false" customHeight="false" outlineLevel="1" collapsed="false">
      <c r="A546" s="38" t="str">
        <f aca="false">TEXT(SIP_Fund3_SBISmallcap!B36,"mmm-yyyy")</f>
        <v>Aug-2027</v>
      </c>
      <c r="B546" s="39" t="n">
        <f aca="false">SIP_Fund3_SBISmallcap!B36</f>
        <v>46600</v>
      </c>
      <c r="C546" s="40" t="n">
        <f aca="false">SIP_Fund3_SBISmallcap!C36</f>
        <v>5000</v>
      </c>
      <c r="D546" s="41" t="n">
        <f aca="false">SIP_Fund3_SBISmallcap!D36</f>
        <v>243.836793210348</v>
      </c>
      <c r="E546" s="42" t="n">
        <f aca="false">SIP_Fund3_SBISmallcap!E36</f>
        <v>20.5055190161015</v>
      </c>
      <c r="F546" s="38" t="n">
        <f aca="false">Assumptions!$C$5-B546</f>
        <v>3089</v>
      </c>
      <c r="G546" s="41" t="n">
        <f aca="false">Assumptions!$D$23*(1+Assumptions!$F$23)^((Assumptions!$C$5-Assumptions!$C$4)/365)</f>
        <v>795.766940037429</v>
      </c>
      <c r="H546" s="40" t="n">
        <f aca="false">E546*G546</f>
        <v>16317.6141213224</v>
      </c>
      <c r="I546" s="48" t="n">
        <f aca="false">IF(F546&lt;365,Assumptions!$G$23,IF(F546&lt;=730,Assumptions!$H$23,Assumptions!$I$23))</f>
        <v>0</v>
      </c>
      <c r="J546" s="40" t="n">
        <f aca="false">H546*I546</f>
        <v>0</v>
      </c>
      <c r="K546" s="40" t="n">
        <f aca="false">H546-J546</f>
        <v>16317.6141213224</v>
      </c>
      <c r="L546" s="40" t="n">
        <f aca="false">K546-C546</f>
        <v>11317.6141213224</v>
      </c>
      <c r="M546" s="38" t="str">
        <f aca="false">IF(F546&gt;365,"LTCG","STCG")</f>
        <v>LTCG</v>
      </c>
      <c r="N546" s="48" t="n">
        <f aca="false">IF(M546="LTCG",Assumptions!$C$12,Assumptions!$C$11)</f>
        <v>0.125</v>
      </c>
      <c r="O546" s="38" t="str">
        <f aca="false">IF(M546="STCG",MAX(L546,0)*Assumptions!$C$11,"agg. below")</f>
        <v>agg. below</v>
      </c>
    </row>
    <row r="547" customFormat="false" ht="15" hidden="false" customHeight="false" outlineLevel="1" collapsed="false">
      <c r="A547" s="33" t="str">
        <f aca="false">TEXT(SIP_Fund3_SBISmallcap!B37,"mmm-yyyy")</f>
        <v>Sep-2027</v>
      </c>
      <c r="B547" s="34" t="n">
        <f aca="false">SIP_Fund3_SBISmallcap!B37</f>
        <v>46631</v>
      </c>
      <c r="C547" s="35" t="n">
        <f aca="false">SIP_Fund3_SBISmallcap!C37</f>
        <v>5000</v>
      </c>
      <c r="D547" s="36" t="n">
        <f aca="false">SIP_Fund3_SBISmallcap!D37</f>
        <v>246.748429505412</v>
      </c>
      <c r="E547" s="37" t="n">
        <f aca="false">SIP_Fund3_SBISmallcap!E37</f>
        <v>20.2635534905819</v>
      </c>
      <c r="F547" s="33" t="n">
        <f aca="false">Assumptions!$C$5-B547</f>
        <v>3058</v>
      </c>
      <c r="G547" s="36" t="n">
        <f aca="false">Assumptions!$D$23*(1+Assumptions!$F$23)^((Assumptions!$C$5-Assumptions!$C$4)/365)</f>
        <v>795.766940037429</v>
      </c>
      <c r="H547" s="35" t="n">
        <f aca="false">E547*G547</f>
        <v>16125.0659554851</v>
      </c>
      <c r="I547" s="47" t="n">
        <f aca="false">IF(F547&lt;365,Assumptions!$G$23,IF(F547&lt;=730,Assumptions!$H$23,Assumptions!$I$23))</f>
        <v>0</v>
      </c>
      <c r="J547" s="35" t="n">
        <f aca="false">H547*I547</f>
        <v>0</v>
      </c>
      <c r="K547" s="35" t="n">
        <f aca="false">H547-J547</f>
        <v>16125.0659554851</v>
      </c>
      <c r="L547" s="35" t="n">
        <f aca="false">K547-C547</f>
        <v>11125.0659554851</v>
      </c>
      <c r="M547" s="33" t="str">
        <f aca="false">IF(F547&gt;365,"LTCG","STCG")</f>
        <v>LTCG</v>
      </c>
      <c r="N547" s="47" t="n">
        <f aca="false">IF(M547="LTCG",Assumptions!$C$12,Assumptions!$C$11)</f>
        <v>0.125</v>
      </c>
      <c r="O547" s="33" t="str">
        <f aca="false">IF(M547="STCG",MAX(L547,0)*Assumptions!$C$11,"agg. below")</f>
        <v>agg. below</v>
      </c>
    </row>
    <row r="548" customFormat="false" ht="15" hidden="false" customHeight="false" outlineLevel="1" collapsed="false">
      <c r="A548" s="38" t="str">
        <f aca="false">TEXT(SIP_Fund3_SBISmallcap!B38,"mmm-yyyy")</f>
        <v>Oct-2027</v>
      </c>
      <c r="B548" s="39" t="n">
        <f aca="false">SIP_Fund3_SBISmallcap!B38</f>
        <v>46661</v>
      </c>
      <c r="C548" s="40" t="n">
        <f aca="false">SIP_Fund3_SBISmallcap!C38</f>
        <v>5000</v>
      </c>
      <c r="D548" s="41" t="n">
        <f aca="false">SIP_Fund3_SBISmallcap!D38</f>
        <v>249.599241220473</v>
      </c>
      <c r="E548" s="42" t="n">
        <f aca="false">SIP_Fund3_SBISmallcap!E38</f>
        <v>20.0321121793133</v>
      </c>
      <c r="F548" s="38" t="n">
        <f aca="false">Assumptions!$C$5-B548</f>
        <v>3028</v>
      </c>
      <c r="G548" s="41" t="n">
        <f aca="false">Assumptions!$D$23*(1+Assumptions!$F$23)^((Assumptions!$C$5-Assumptions!$C$4)/365)</f>
        <v>795.766940037429</v>
      </c>
      <c r="H548" s="40" t="n">
        <f aca="false">E548*G548</f>
        <v>15940.8926114187</v>
      </c>
      <c r="I548" s="48" t="n">
        <f aca="false">IF(F548&lt;365,Assumptions!$G$23,IF(F548&lt;=730,Assumptions!$H$23,Assumptions!$I$23))</f>
        <v>0</v>
      </c>
      <c r="J548" s="40" t="n">
        <f aca="false">H548*I548</f>
        <v>0</v>
      </c>
      <c r="K548" s="40" t="n">
        <f aca="false">H548-J548</f>
        <v>15940.8926114187</v>
      </c>
      <c r="L548" s="40" t="n">
        <f aca="false">K548-C548</f>
        <v>10940.8926114187</v>
      </c>
      <c r="M548" s="38" t="str">
        <f aca="false">IF(F548&gt;365,"LTCG","STCG")</f>
        <v>LTCG</v>
      </c>
      <c r="N548" s="48" t="n">
        <f aca="false">IF(M548="LTCG",Assumptions!$C$12,Assumptions!$C$11)</f>
        <v>0.125</v>
      </c>
      <c r="O548" s="38" t="str">
        <f aca="false">IF(M548="STCG",MAX(L548,0)*Assumptions!$C$11,"agg. below")</f>
        <v>agg. below</v>
      </c>
    </row>
    <row r="549" customFormat="false" ht="15" hidden="false" customHeight="false" outlineLevel="1" collapsed="false">
      <c r="A549" s="33" t="str">
        <f aca="false">TEXT(SIP_Fund3_SBISmallcap!B39,"mmm-yyyy")</f>
        <v>Nov-2027</v>
      </c>
      <c r="B549" s="34" t="n">
        <f aca="false">SIP_Fund3_SBISmallcap!B39</f>
        <v>46692</v>
      </c>
      <c r="C549" s="35" t="n">
        <f aca="false">SIP_Fund3_SBISmallcap!C39</f>
        <v>5000</v>
      </c>
      <c r="D549" s="36" t="n">
        <f aca="false">SIP_Fund3_SBISmallcap!D39</f>
        <v>252.579686461694</v>
      </c>
      <c r="E549" s="37" t="n">
        <f aca="false">SIP_Fund3_SBISmallcap!E39</f>
        <v>19.7957328637285</v>
      </c>
      <c r="F549" s="33" t="n">
        <f aca="false">Assumptions!$C$5-B549</f>
        <v>2997</v>
      </c>
      <c r="G549" s="36" t="n">
        <f aca="false">Assumptions!$D$23*(1+Assumptions!$F$23)^((Assumptions!$C$5-Assumptions!$C$4)/365)</f>
        <v>795.766940037429</v>
      </c>
      <c r="H549" s="35" t="n">
        <f aca="false">E549*G549</f>
        <v>15752.7897667676</v>
      </c>
      <c r="I549" s="47" t="n">
        <f aca="false">IF(F549&lt;365,Assumptions!$G$23,IF(F549&lt;=730,Assumptions!$H$23,Assumptions!$I$23))</f>
        <v>0</v>
      </c>
      <c r="J549" s="35" t="n">
        <f aca="false">H549*I549</f>
        <v>0</v>
      </c>
      <c r="K549" s="35" t="n">
        <f aca="false">H549-J549</f>
        <v>15752.7897667676</v>
      </c>
      <c r="L549" s="35" t="n">
        <f aca="false">K549-C549</f>
        <v>10752.7897667676</v>
      </c>
      <c r="M549" s="33" t="str">
        <f aca="false">IF(F549&gt;365,"LTCG","STCG")</f>
        <v>LTCG</v>
      </c>
      <c r="N549" s="47" t="n">
        <f aca="false">IF(M549="LTCG",Assumptions!$C$12,Assumptions!$C$11)</f>
        <v>0.125</v>
      </c>
      <c r="O549" s="33" t="str">
        <f aca="false">IF(M549="STCG",MAX(L549,0)*Assumptions!$C$11,"agg. below")</f>
        <v>agg. below</v>
      </c>
    </row>
    <row r="550" customFormat="false" ht="15" hidden="false" customHeight="false" outlineLevel="1" collapsed="false">
      <c r="A550" s="38" t="str">
        <f aca="false">TEXT(SIP_Fund3_SBISmallcap!B40,"mmm-yyyy")</f>
        <v>Dec-2027</v>
      </c>
      <c r="B550" s="39" t="n">
        <f aca="false">SIP_Fund3_SBISmallcap!B40</f>
        <v>46722</v>
      </c>
      <c r="C550" s="40" t="n">
        <f aca="false">SIP_Fund3_SBISmallcap!C40</f>
        <v>5000</v>
      </c>
      <c r="D550" s="41" t="n">
        <f aca="false">SIP_Fund3_SBISmallcap!D40</f>
        <v>255.497869692261</v>
      </c>
      <c r="E550" s="42" t="n">
        <f aca="false">SIP_Fund3_SBISmallcap!E40</f>
        <v>19.5696347919548</v>
      </c>
      <c r="F550" s="38" t="n">
        <f aca="false">Assumptions!$C$5-B550</f>
        <v>2967</v>
      </c>
      <c r="G550" s="41" t="n">
        <f aca="false">Assumptions!$D$23*(1+Assumptions!$F$23)^((Assumptions!$C$5-Assumptions!$C$4)/365)</f>
        <v>795.766940037429</v>
      </c>
      <c r="H550" s="40" t="n">
        <f aca="false">E550*G550</f>
        <v>15572.8683960439</v>
      </c>
      <c r="I550" s="48" t="n">
        <f aca="false">IF(F550&lt;365,Assumptions!$G$23,IF(F550&lt;=730,Assumptions!$H$23,Assumptions!$I$23))</f>
        <v>0</v>
      </c>
      <c r="J550" s="40" t="n">
        <f aca="false">H550*I550</f>
        <v>0</v>
      </c>
      <c r="K550" s="40" t="n">
        <f aca="false">H550-J550</f>
        <v>15572.8683960439</v>
      </c>
      <c r="L550" s="40" t="n">
        <f aca="false">K550-C550</f>
        <v>10572.8683960439</v>
      </c>
      <c r="M550" s="38" t="str">
        <f aca="false">IF(F550&gt;365,"LTCG","STCG")</f>
        <v>LTCG</v>
      </c>
      <c r="N550" s="48" t="n">
        <f aca="false">IF(M550="LTCG",Assumptions!$C$12,Assumptions!$C$11)</f>
        <v>0.125</v>
      </c>
      <c r="O550" s="38" t="str">
        <f aca="false">IF(M550="STCG",MAX(L550,0)*Assumptions!$C$11,"agg. below")</f>
        <v>agg. below</v>
      </c>
    </row>
    <row r="551" customFormat="false" ht="15" hidden="false" customHeight="false" outlineLevel="1" collapsed="false">
      <c r="A551" s="33" t="str">
        <f aca="false">TEXT(SIP_Fund3_SBISmallcap!B41,"mmm-yyyy")</f>
        <v>Jan-2028</v>
      </c>
      <c r="B551" s="34" t="n">
        <f aca="false">SIP_Fund3_SBISmallcap!B41</f>
        <v>46753</v>
      </c>
      <c r="C551" s="35" t="n">
        <f aca="false">SIP_Fund3_SBISmallcap!C41</f>
        <v>6000</v>
      </c>
      <c r="D551" s="36" t="n">
        <f aca="false">SIP_Fund3_SBISmallcap!D41</f>
        <v>258.54875</v>
      </c>
      <c r="E551" s="37" t="n">
        <f aca="false">SIP_Fund3_SBISmallcap!E41</f>
        <v>23.2064552623055</v>
      </c>
      <c r="F551" s="33" t="n">
        <f aca="false">Assumptions!$C$5-B551</f>
        <v>2936</v>
      </c>
      <c r="G551" s="36" t="n">
        <f aca="false">Assumptions!$D$23*(1+Assumptions!$F$23)^((Assumptions!$C$5-Assumptions!$C$4)/365)</f>
        <v>795.766940037429</v>
      </c>
      <c r="H551" s="35" t="n">
        <f aca="false">E551*G551</f>
        <v>18466.9298932003</v>
      </c>
      <c r="I551" s="47" t="n">
        <f aca="false">IF(F551&lt;365,Assumptions!$G$23,IF(F551&lt;=730,Assumptions!$H$23,Assumptions!$I$23))</f>
        <v>0</v>
      </c>
      <c r="J551" s="35" t="n">
        <f aca="false">H551*I551</f>
        <v>0</v>
      </c>
      <c r="K551" s="35" t="n">
        <f aca="false">H551-J551</f>
        <v>18466.9298932003</v>
      </c>
      <c r="L551" s="35" t="n">
        <f aca="false">K551-C551</f>
        <v>12466.9298932003</v>
      </c>
      <c r="M551" s="33" t="str">
        <f aca="false">IF(F551&gt;365,"LTCG","STCG")</f>
        <v>LTCG</v>
      </c>
      <c r="N551" s="47" t="n">
        <f aca="false">IF(M551="LTCG",Assumptions!$C$12,Assumptions!$C$11)</f>
        <v>0.125</v>
      </c>
      <c r="O551" s="33" t="str">
        <f aca="false">IF(M551="STCG",MAX(L551,0)*Assumptions!$C$11,"agg. below")</f>
        <v>agg. below</v>
      </c>
    </row>
    <row r="552" customFormat="false" ht="15" hidden="false" customHeight="false" outlineLevel="1" collapsed="false">
      <c r="A552" s="38" t="str">
        <f aca="false">TEXT(SIP_Fund3_SBISmallcap!B42,"mmm-yyyy")</f>
        <v>Feb-2028</v>
      </c>
      <c r="B552" s="39" t="n">
        <f aca="false">SIP_Fund3_SBISmallcap!B42</f>
        <v>46784</v>
      </c>
      <c r="C552" s="40" t="n">
        <f aca="false">SIP_Fund3_SBISmallcap!C42</f>
        <v>6000</v>
      </c>
      <c r="D552" s="41" t="n">
        <f aca="false">SIP_Fund3_SBISmallcap!D42</f>
        <v>261.63606063361</v>
      </c>
      <c r="E552" s="42" t="n">
        <f aca="false">SIP_Fund3_SBISmallcap!E42</f>
        <v>22.9326186362448</v>
      </c>
      <c r="F552" s="38" t="n">
        <f aca="false">Assumptions!$C$5-B552</f>
        <v>2905</v>
      </c>
      <c r="G552" s="41" t="n">
        <f aca="false">Assumptions!$D$23*(1+Assumptions!$F$23)^((Assumptions!$C$5-Assumptions!$C$4)/365)</f>
        <v>795.766940037429</v>
      </c>
      <c r="H552" s="40" t="n">
        <f aca="false">E552*G552</f>
        <v>18249.0197592099</v>
      </c>
      <c r="I552" s="48" t="n">
        <f aca="false">IF(F552&lt;365,Assumptions!$G$23,IF(F552&lt;=730,Assumptions!$H$23,Assumptions!$I$23))</f>
        <v>0</v>
      </c>
      <c r="J552" s="40" t="n">
        <f aca="false">H552*I552</f>
        <v>0</v>
      </c>
      <c r="K552" s="40" t="n">
        <f aca="false">H552-J552</f>
        <v>18249.0197592099</v>
      </c>
      <c r="L552" s="40" t="n">
        <f aca="false">K552-C552</f>
        <v>12249.0197592099</v>
      </c>
      <c r="M552" s="38" t="str">
        <f aca="false">IF(F552&gt;365,"LTCG","STCG")</f>
        <v>LTCG</v>
      </c>
      <c r="N552" s="48" t="n">
        <f aca="false">IF(M552="LTCG",Assumptions!$C$12,Assumptions!$C$11)</f>
        <v>0.125</v>
      </c>
      <c r="O552" s="38" t="str">
        <f aca="false">IF(M552="STCG",MAX(L552,0)*Assumptions!$C$11,"agg. below")</f>
        <v>agg. below</v>
      </c>
    </row>
    <row r="553" customFormat="false" ht="15" hidden="false" customHeight="false" outlineLevel="1" collapsed="false">
      <c r="A553" s="33" t="str">
        <f aca="false">TEXT(SIP_Fund3_SBISmallcap!B43,"mmm-yyyy")</f>
        <v>Mar-2028</v>
      </c>
      <c r="B553" s="34" t="n">
        <f aca="false">SIP_Fund3_SBISmallcap!B43</f>
        <v>46813</v>
      </c>
      <c r="C553" s="35" t="n">
        <f aca="false">SIP_Fund3_SBISmallcap!C43</f>
        <v>6000</v>
      </c>
      <c r="D553" s="36" t="n">
        <f aca="false">SIP_Fund3_SBISmallcap!D43</f>
        <v>264.55755583989</v>
      </c>
      <c r="E553" s="37" t="n">
        <f aca="false">SIP_Fund3_SBISmallcap!E43</f>
        <v>22.6793749320514</v>
      </c>
      <c r="F553" s="33" t="n">
        <f aca="false">Assumptions!$C$5-B553</f>
        <v>2876</v>
      </c>
      <c r="G553" s="36" t="n">
        <f aca="false">Assumptions!$D$23*(1+Assumptions!$F$23)^((Assumptions!$C$5-Assumptions!$C$4)/365)</f>
        <v>795.766940037429</v>
      </c>
      <c r="H553" s="35" t="n">
        <f aca="false">E553*G553</f>
        <v>18047.4967916401</v>
      </c>
      <c r="I553" s="47" t="n">
        <f aca="false">IF(F553&lt;365,Assumptions!$G$23,IF(F553&lt;=730,Assumptions!$H$23,Assumptions!$I$23))</f>
        <v>0</v>
      </c>
      <c r="J553" s="35" t="n">
        <f aca="false">H553*I553</f>
        <v>0</v>
      </c>
      <c r="K553" s="35" t="n">
        <f aca="false">H553-J553</f>
        <v>18047.4967916401</v>
      </c>
      <c r="L553" s="35" t="n">
        <f aca="false">K553-C553</f>
        <v>12047.4967916401</v>
      </c>
      <c r="M553" s="33" t="str">
        <f aca="false">IF(F553&gt;365,"LTCG","STCG")</f>
        <v>LTCG</v>
      </c>
      <c r="N553" s="47" t="n">
        <f aca="false">IF(M553="LTCG",Assumptions!$C$12,Assumptions!$C$11)</f>
        <v>0.125</v>
      </c>
      <c r="O553" s="33" t="str">
        <f aca="false">IF(M553="STCG",MAX(L553,0)*Assumptions!$C$11,"agg. below")</f>
        <v>agg. below</v>
      </c>
    </row>
    <row r="554" customFormat="false" ht="15" hidden="false" customHeight="false" outlineLevel="1" collapsed="false">
      <c r="A554" s="38" t="str">
        <f aca="false">TEXT(SIP_Fund3_SBISmallcap!B44,"mmm-yyyy")</f>
        <v>Apr-2028</v>
      </c>
      <c r="B554" s="39" t="n">
        <f aca="false">SIP_Fund3_SBISmallcap!B44</f>
        <v>46844</v>
      </c>
      <c r="C554" s="40" t="n">
        <f aca="false">SIP_Fund3_SBISmallcap!C44</f>
        <v>6000</v>
      </c>
      <c r="D554" s="41" t="n">
        <f aca="false">SIP_Fund3_SBISmallcap!D44</f>
        <v>267.716617159453</v>
      </c>
      <c r="E554" s="42" t="n">
        <f aca="false">SIP_Fund3_SBISmallcap!E44</f>
        <v>22.4117578641985</v>
      </c>
      <c r="F554" s="38" t="n">
        <f aca="false">Assumptions!$C$5-B554</f>
        <v>2845</v>
      </c>
      <c r="G554" s="41" t="n">
        <f aca="false">Assumptions!$D$23*(1+Assumptions!$F$23)^((Assumptions!$C$5-Assumptions!$C$4)/365)</f>
        <v>795.766940037429</v>
      </c>
      <c r="H554" s="40" t="n">
        <f aca="false">E554*G554</f>
        <v>17834.535976453</v>
      </c>
      <c r="I554" s="48" t="n">
        <f aca="false">IF(F554&lt;365,Assumptions!$G$23,IF(F554&lt;=730,Assumptions!$H$23,Assumptions!$I$23))</f>
        <v>0</v>
      </c>
      <c r="J554" s="40" t="n">
        <f aca="false">H554*I554</f>
        <v>0</v>
      </c>
      <c r="K554" s="40" t="n">
        <f aca="false">H554-J554</f>
        <v>17834.535976453</v>
      </c>
      <c r="L554" s="40" t="n">
        <f aca="false">K554-C554</f>
        <v>11834.535976453</v>
      </c>
      <c r="M554" s="38" t="str">
        <f aca="false">IF(F554&gt;365,"LTCG","STCG")</f>
        <v>LTCG</v>
      </c>
      <c r="N554" s="48" t="n">
        <f aca="false">IF(M554="LTCG",Assumptions!$C$12,Assumptions!$C$11)</f>
        <v>0.125</v>
      </c>
      <c r="O554" s="38" t="str">
        <f aca="false">IF(M554="STCG",MAX(L554,0)*Assumptions!$C$11,"agg. below")</f>
        <v>agg. below</v>
      </c>
    </row>
    <row r="555" customFormat="false" ht="15" hidden="false" customHeight="false" outlineLevel="1" collapsed="false">
      <c r="A555" s="33" t="str">
        <f aca="false">TEXT(SIP_Fund3_SBISmallcap!B45,"mmm-yyyy")</f>
        <v>May-2028</v>
      </c>
      <c r="B555" s="34" t="n">
        <f aca="false">SIP_Fund3_SBISmallcap!B45</f>
        <v>46874</v>
      </c>
      <c r="C555" s="35" t="n">
        <f aca="false">SIP_Fund3_SBISmallcap!C45</f>
        <v>6000</v>
      </c>
      <c r="D555" s="36" t="n">
        <f aca="false">SIP_Fund3_SBISmallcap!D45</f>
        <v>270.809685147949</v>
      </c>
      <c r="E555" s="37" t="n">
        <f aca="false">SIP_Fund3_SBISmallcap!E45</f>
        <v>22.1557807163436</v>
      </c>
      <c r="F555" s="33" t="n">
        <f aca="false">Assumptions!$C$5-B555</f>
        <v>2815</v>
      </c>
      <c r="G555" s="36" t="n">
        <f aca="false">Assumptions!$D$23*(1+Assumptions!$F$23)^((Assumptions!$C$5-Assumptions!$C$4)/365)</f>
        <v>795.766940037429</v>
      </c>
      <c r="H555" s="35" t="n">
        <f aca="false">E555*G555</f>
        <v>17630.837824785</v>
      </c>
      <c r="I555" s="47" t="n">
        <f aca="false">IF(F555&lt;365,Assumptions!$G$23,IF(F555&lt;=730,Assumptions!$H$23,Assumptions!$I$23))</f>
        <v>0</v>
      </c>
      <c r="J555" s="35" t="n">
        <f aca="false">H555*I555</f>
        <v>0</v>
      </c>
      <c r="K555" s="35" t="n">
        <f aca="false">H555-J555</f>
        <v>17630.837824785</v>
      </c>
      <c r="L555" s="35" t="n">
        <f aca="false">K555-C555</f>
        <v>11630.837824785</v>
      </c>
      <c r="M555" s="33" t="str">
        <f aca="false">IF(F555&gt;365,"LTCG","STCG")</f>
        <v>LTCG</v>
      </c>
      <c r="N555" s="47" t="n">
        <f aca="false">IF(M555="LTCG",Assumptions!$C$12,Assumptions!$C$11)</f>
        <v>0.125</v>
      </c>
      <c r="O555" s="33" t="str">
        <f aca="false">IF(M555="STCG",MAX(L555,0)*Assumptions!$C$11,"agg. below")</f>
        <v>agg. below</v>
      </c>
    </row>
    <row r="556" customFormat="false" ht="15" hidden="false" customHeight="false" outlineLevel="1" collapsed="false">
      <c r="A556" s="38" t="str">
        <f aca="false">TEXT(SIP_Fund3_SBISmallcap!B46,"mmm-yyyy")</f>
        <v>Jun-2028</v>
      </c>
      <c r="B556" s="39" t="n">
        <f aca="false">SIP_Fund3_SBISmallcap!B46</f>
        <v>46905</v>
      </c>
      <c r="C556" s="40" t="n">
        <f aca="false">SIP_Fund3_SBISmallcap!C46</f>
        <v>6000</v>
      </c>
      <c r="D556" s="41" t="n">
        <f aca="false">SIP_Fund3_SBISmallcap!D46</f>
        <v>274.043402660185</v>
      </c>
      <c r="E556" s="42" t="n">
        <f aca="false">SIP_Fund3_SBISmallcap!E46</f>
        <v>21.8943420704786</v>
      </c>
      <c r="F556" s="38" t="n">
        <f aca="false">Assumptions!$C$5-B556</f>
        <v>2784</v>
      </c>
      <c r="G556" s="41" t="n">
        <f aca="false">Assumptions!$D$23*(1+Assumptions!$F$23)^((Assumptions!$C$5-Assumptions!$C$4)/365)</f>
        <v>795.766940037429</v>
      </c>
      <c r="H556" s="40" t="n">
        <f aca="false">E556*G556</f>
        <v>17422.7935935575</v>
      </c>
      <c r="I556" s="48" t="n">
        <f aca="false">IF(F556&lt;365,Assumptions!$G$23,IF(F556&lt;=730,Assumptions!$H$23,Assumptions!$I$23))</f>
        <v>0</v>
      </c>
      <c r="J556" s="40" t="n">
        <f aca="false">H556*I556</f>
        <v>0</v>
      </c>
      <c r="K556" s="40" t="n">
        <f aca="false">H556-J556</f>
        <v>17422.7935935575</v>
      </c>
      <c r="L556" s="40" t="n">
        <f aca="false">K556-C556</f>
        <v>11422.7935935575</v>
      </c>
      <c r="M556" s="38" t="str">
        <f aca="false">IF(F556&gt;365,"LTCG","STCG")</f>
        <v>LTCG</v>
      </c>
      <c r="N556" s="48" t="n">
        <f aca="false">IF(M556="LTCG",Assumptions!$C$12,Assumptions!$C$11)</f>
        <v>0.125</v>
      </c>
      <c r="O556" s="38" t="str">
        <f aca="false">IF(M556="STCG",MAX(L556,0)*Assumptions!$C$11,"agg. below")</f>
        <v>agg. below</v>
      </c>
    </row>
    <row r="557" customFormat="false" ht="15" hidden="false" customHeight="false" outlineLevel="1" collapsed="false">
      <c r="A557" s="33" t="str">
        <f aca="false">TEXT(SIP_Fund3_SBISmallcap!B47,"mmm-yyyy")</f>
        <v>Jul-2028</v>
      </c>
      <c r="B557" s="34" t="n">
        <f aca="false">SIP_Fund3_SBISmallcap!B47</f>
        <v>46935</v>
      </c>
      <c r="C557" s="35" t="n">
        <f aca="false">SIP_Fund3_SBISmallcap!C47</f>
        <v>6000</v>
      </c>
      <c r="D557" s="36" t="n">
        <f aca="false">SIP_Fund3_SBISmallcap!D47</f>
        <v>277.209567260725</v>
      </c>
      <c r="E557" s="37" t="n">
        <f aca="false">SIP_Fund3_SBISmallcap!E47</f>
        <v>21.6442746160951</v>
      </c>
      <c r="F557" s="33" t="n">
        <f aca="false">Assumptions!$C$5-B557</f>
        <v>2754</v>
      </c>
      <c r="G557" s="36" t="n">
        <f aca="false">Assumptions!$D$23*(1+Assumptions!$F$23)^((Assumptions!$C$5-Assumptions!$C$4)/365)</f>
        <v>795.766940037429</v>
      </c>
      <c r="H557" s="35" t="n">
        <f aca="false">E557*G557</f>
        <v>17223.7981805798</v>
      </c>
      <c r="I557" s="47" t="n">
        <f aca="false">IF(F557&lt;365,Assumptions!$G$23,IF(F557&lt;=730,Assumptions!$H$23,Assumptions!$I$23))</f>
        <v>0</v>
      </c>
      <c r="J557" s="35" t="n">
        <f aca="false">H557*I557</f>
        <v>0</v>
      </c>
      <c r="K557" s="35" t="n">
        <f aca="false">H557-J557</f>
        <v>17223.7981805798</v>
      </c>
      <c r="L557" s="35" t="n">
        <f aca="false">K557-C557</f>
        <v>11223.7981805798</v>
      </c>
      <c r="M557" s="33" t="str">
        <f aca="false">IF(F557&gt;365,"LTCG","STCG")</f>
        <v>LTCG</v>
      </c>
      <c r="N557" s="47" t="n">
        <f aca="false">IF(M557="LTCG",Assumptions!$C$12,Assumptions!$C$11)</f>
        <v>0.125</v>
      </c>
      <c r="O557" s="33" t="str">
        <f aca="false">IF(M557="STCG",MAX(L557,0)*Assumptions!$C$11,"agg. below")</f>
        <v>agg. below</v>
      </c>
    </row>
    <row r="558" customFormat="false" ht="15" hidden="false" customHeight="false" outlineLevel="1" collapsed="false">
      <c r="A558" s="38" t="str">
        <f aca="false">TEXT(SIP_Fund3_SBISmallcap!B48,"mmm-yyyy")</f>
        <v>Aug-2028</v>
      </c>
      <c r="B558" s="39" t="n">
        <f aca="false">SIP_Fund3_SBISmallcap!B48</f>
        <v>46966</v>
      </c>
      <c r="C558" s="40" t="n">
        <f aca="false">SIP_Fund3_SBISmallcap!C48</f>
        <v>6000</v>
      </c>
      <c r="D558" s="41" t="n">
        <f aca="false">SIP_Fund3_SBISmallcap!D48</f>
        <v>280.519705270452</v>
      </c>
      <c r="E558" s="42" t="n">
        <f aca="false">SIP_Fund3_SBISmallcap!E48</f>
        <v>21.3888717522191</v>
      </c>
      <c r="F558" s="38" t="n">
        <f aca="false">Assumptions!$C$5-B558</f>
        <v>2723</v>
      </c>
      <c r="G558" s="41" t="n">
        <f aca="false">Assumptions!$D$23*(1+Assumptions!$F$23)^((Assumptions!$C$5-Assumptions!$C$4)/365)</f>
        <v>795.766940037429</v>
      </c>
      <c r="H558" s="40" t="n">
        <f aca="false">E558*G558</f>
        <v>17020.5570251164</v>
      </c>
      <c r="I558" s="48" t="n">
        <f aca="false">IF(F558&lt;365,Assumptions!$G$23,IF(F558&lt;=730,Assumptions!$H$23,Assumptions!$I$23))</f>
        <v>0</v>
      </c>
      <c r="J558" s="40" t="n">
        <f aca="false">H558*I558</f>
        <v>0</v>
      </c>
      <c r="K558" s="40" t="n">
        <f aca="false">H558-J558</f>
        <v>17020.5570251164</v>
      </c>
      <c r="L558" s="40" t="n">
        <f aca="false">K558-C558</f>
        <v>11020.5570251164</v>
      </c>
      <c r="M558" s="38" t="str">
        <f aca="false">IF(F558&gt;365,"LTCG","STCG")</f>
        <v>LTCG</v>
      </c>
      <c r="N558" s="48" t="n">
        <f aca="false">IF(M558="LTCG",Assumptions!$C$12,Assumptions!$C$11)</f>
        <v>0.125</v>
      </c>
      <c r="O558" s="38" t="str">
        <f aca="false">IF(M558="STCG",MAX(L558,0)*Assumptions!$C$11,"agg. below")</f>
        <v>agg. below</v>
      </c>
    </row>
    <row r="559" customFormat="false" ht="15" hidden="false" customHeight="false" outlineLevel="1" collapsed="false">
      <c r="A559" s="33" t="str">
        <f aca="false">TEXT(SIP_Fund3_SBISmallcap!B49,"mmm-yyyy")</f>
        <v>Sep-2028</v>
      </c>
      <c r="B559" s="34" t="n">
        <f aca="false">SIP_Fund3_SBISmallcap!B49</f>
        <v>46997</v>
      </c>
      <c r="C559" s="35" t="n">
        <f aca="false">SIP_Fund3_SBISmallcap!C49</f>
        <v>6000</v>
      </c>
      <c r="D559" s="36" t="n">
        <f aca="false">SIP_Fund3_SBISmallcap!D49</f>
        <v>283.869369382224</v>
      </c>
      <c r="E559" s="37" t="n">
        <f aca="false">SIP_Fund3_SBISmallcap!E49</f>
        <v>21.1364826471331</v>
      </c>
      <c r="F559" s="33" t="n">
        <f aca="false">Assumptions!$C$5-B559</f>
        <v>2692</v>
      </c>
      <c r="G559" s="36" t="n">
        <f aca="false">Assumptions!$D$23*(1+Assumptions!$F$23)^((Assumptions!$C$5-Assumptions!$C$4)/365)</f>
        <v>795.766940037429</v>
      </c>
      <c r="H559" s="35" t="n">
        <f aca="false">E559*G559</f>
        <v>16819.7141192633</v>
      </c>
      <c r="I559" s="47" t="n">
        <f aca="false">IF(F559&lt;365,Assumptions!$G$23,IF(F559&lt;=730,Assumptions!$H$23,Assumptions!$I$23))</f>
        <v>0</v>
      </c>
      <c r="J559" s="35" t="n">
        <f aca="false">H559*I559</f>
        <v>0</v>
      </c>
      <c r="K559" s="35" t="n">
        <f aca="false">H559-J559</f>
        <v>16819.7141192633</v>
      </c>
      <c r="L559" s="35" t="n">
        <f aca="false">K559-C559</f>
        <v>10819.7141192633</v>
      </c>
      <c r="M559" s="33" t="str">
        <f aca="false">IF(F559&gt;365,"LTCG","STCG")</f>
        <v>LTCG</v>
      </c>
      <c r="N559" s="47" t="n">
        <f aca="false">IF(M559="LTCG",Assumptions!$C$12,Assumptions!$C$11)</f>
        <v>0.125</v>
      </c>
      <c r="O559" s="33" t="str">
        <f aca="false">IF(M559="STCG",MAX(L559,0)*Assumptions!$C$11,"agg. below")</f>
        <v>agg. below</v>
      </c>
    </row>
    <row r="560" customFormat="false" ht="15" hidden="false" customHeight="false" outlineLevel="1" collapsed="false">
      <c r="A560" s="38" t="str">
        <f aca="false">TEXT(SIP_Fund3_SBISmallcap!B50,"mmm-yyyy")</f>
        <v>Oct-2028</v>
      </c>
      <c r="B560" s="39" t="n">
        <f aca="false">SIP_Fund3_SBISmallcap!B50</f>
        <v>47027</v>
      </c>
      <c r="C560" s="40" t="n">
        <f aca="false">SIP_Fund3_SBISmallcap!C50</f>
        <v>6000</v>
      </c>
      <c r="D560" s="41" t="n">
        <f aca="false">SIP_Fund3_SBISmallcap!D50</f>
        <v>287.149058438012</v>
      </c>
      <c r="E560" s="42" t="n">
        <f aca="false">SIP_Fund3_SBISmallcap!E50</f>
        <v>20.8950711266053</v>
      </c>
      <c r="F560" s="38" t="n">
        <f aca="false">Assumptions!$C$5-B560</f>
        <v>2662</v>
      </c>
      <c r="G560" s="41" t="n">
        <f aca="false">Assumptions!$D$23*(1+Assumptions!$F$23)^((Assumptions!$C$5-Assumptions!$C$4)/365)</f>
        <v>795.766940037429</v>
      </c>
      <c r="H560" s="40" t="n">
        <f aca="false">E560*G560</f>
        <v>16627.6068122831</v>
      </c>
      <c r="I560" s="48" t="n">
        <f aca="false">IF(F560&lt;365,Assumptions!$G$23,IF(F560&lt;=730,Assumptions!$H$23,Assumptions!$I$23))</f>
        <v>0</v>
      </c>
      <c r="J560" s="40" t="n">
        <f aca="false">H560*I560</f>
        <v>0</v>
      </c>
      <c r="K560" s="40" t="n">
        <f aca="false">H560-J560</f>
        <v>16627.6068122831</v>
      </c>
      <c r="L560" s="40" t="n">
        <f aca="false">K560-C560</f>
        <v>10627.6068122831</v>
      </c>
      <c r="M560" s="38" t="str">
        <f aca="false">IF(F560&gt;365,"LTCG","STCG")</f>
        <v>LTCG</v>
      </c>
      <c r="N560" s="48" t="n">
        <f aca="false">IF(M560="LTCG",Assumptions!$C$12,Assumptions!$C$11)</f>
        <v>0.125</v>
      </c>
      <c r="O560" s="38" t="str">
        <f aca="false">IF(M560="STCG",MAX(L560,0)*Assumptions!$C$11,"agg. below")</f>
        <v>agg. below</v>
      </c>
    </row>
    <row r="561" customFormat="false" ht="15" hidden="false" customHeight="false" outlineLevel="1" collapsed="false">
      <c r="A561" s="33" t="str">
        <f aca="false">TEXT(SIP_Fund3_SBISmallcap!B51,"mmm-yyyy")</f>
        <v>Nov-2028</v>
      </c>
      <c r="B561" s="34" t="n">
        <f aca="false">SIP_Fund3_SBISmallcap!B51</f>
        <v>47058</v>
      </c>
      <c r="C561" s="35" t="n">
        <f aca="false">SIP_Fund3_SBISmallcap!C51</f>
        <v>6000</v>
      </c>
      <c r="D561" s="36" t="n">
        <f aca="false">SIP_Fund3_SBISmallcap!D51</f>
        <v>290.577883143399</v>
      </c>
      <c r="E561" s="37" t="n">
        <f aca="false">SIP_Fund3_SBISmallcap!E51</f>
        <v>20.6485088785612</v>
      </c>
      <c r="F561" s="33" t="n">
        <f aca="false">Assumptions!$C$5-B561</f>
        <v>2631</v>
      </c>
      <c r="G561" s="36" t="n">
        <f aca="false">Assumptions!$D$23*(1+Assumptions!$F$23)^((Assumptions!$C$5-Assumptions!$C$4)/365)</f>
        <v>795.766940037429</v>
      </c>
      <c r="H561" s="35" t="n">
        <f aca="false">E561*G561</f>
        <v>16431.4007266284</v>
      </c>
      <c r="I561" s="47" t="n">
        <f aca="false">IF(F561&lt;365,Assumptions!$G$23,IF(F561&lt;=730,Assumptions!$H$23,Assumptions!$I$23))</f>
        <v>0</v>
      </c>
      <c r="J561" s="35" t="n">
        <f aca="false">H561*I561</f>
        <v>0</v>
      </c>
      <c r="K561" s="35" t="n">
        <f aca="false">H561-J561</f>
        <v>16431.4007266284</v>
      </c>
      <c r="L561" s="35" t="n">
        <f aca="false">K561-C561</f>
        <v>10431.4007266284</v>
      </c>
      <c r="M561" s="33" t="str">
        <f aca="false">IF(F561&gt;365,"LTCG","STCG")</f>
        <v>LTCG</v>
      </c>
      <c r="N561" s="47" t="n">
        <f aca="false">IF(M561="LTCG",Assumptions!$C$12,Assumptions!$C$11)</f>
        <v>0.125</v>
      </c>
      <c r="O561" s="33" t="str">
        <f aca="false">IF(M561="STCG",MAX(L561,0)*Assumptions!$C$11,"agg. below")</f>
        <v>agg. below</v>
      </c>
    </row>
    <row r="562" customFormat="false" ht="15" hidden="false" customHeight="false" outlineLevel="1" collapsed="false">
      <c r="A562" s="38" t="str">
        <f aca="false">TEXT(SIP_Fund3_SBISmallcap!B52,"mmm-yyyy")</f>
        <v>Dec-2028</v>
      </c>
      <c r="B562" s="39" t="n">
        <f aca="false">SIP_Fund3_SBISmallcap!B52</f>
        <v>47088</v>
      </c>
      <c r="C562" s="40" t="n">
        <f aca="false">SIP_Fund3_SBISmallcap!C52</f>
        <v>6000</v>
      </c>
      <c r="D562" s="41" t="n">
        <f aca="false">SIP_Fund3_SBISmallcap!D52</f>
        <v>293.935079114466</v>
      </c>
      <c r="E562" s="42" t="n">
        <f aca="false">SIP_Fund3_SBISmallcap!E52</f>
        <v>20.4126707777653</v>
      </c>
      <c r="F562" s="38" t="n">
        <f aca="false">Assumptions!$C$5-B562</f>
        <v>2601</v>
      </c>
      <c r="G562" s="41" t="n">
        <f aca="false">Assumptions!$D$23*(1+Assumptions!$F$23)^((Assumptions!$C$5-Assumptions!$C$4)/365)</f>
        <v>795.766940037429</v>
      </c>
      <c r="H562" s="40" t="n">
        <f aca="false">E562*G562</f>
        <v>16243.7285628138</v>
      </c>
      <c r="I562" s="48" t="n">
        <f aca="false">IF(F562&lt;365,Assumptions!$G$23,IF(F562&lt;=730,Assumptions!$H$23,Assumptions!$I$23))</f>
        <v>0</v>
      </c>
      <c r="J562" s="40" t="n">
        <f aca="false">H562*I562</f>
        <v>0</v>
      </c>
      <c r="K562" s="40" t="n">
        <f aca="false">H562-J562</f>
        <v>16243.7285628138</v>
      </c>
      <c r="L562" s="40" t="n">
        <f aca="false">K562-C562</f>
        <v>10243.7285628138</v>
      </c>
      <c r="M562" s="38" t="str">
        <f aca="false">IF(F562&gt;365,"LTCG","STCG")</f>
        <v>LTCG</v>
      </c>
      <c r="N562" s="48" t="n">
        <f aca="false">IF(M562="LTCG",Assumptions!$C$12,Assumptions!$C$11)</f>
        <v>0.125</v>
      </c>
      <c r="O562" s="38" t="str">
        <f aca="false">IF(M562="STCG",MAX(L562,0)*Assumptions!$C$11,"agg. below")</f>
        <v>agg. below</v>
      </c>
    </row>
    <row r="563" customFormat="false" ht="15" hidden="false" customHeight="false" outlineLevel="1" collapsed="false">
      <c r="A563" s="33" t="str">
        <f aca="false">TEXT(SIP_Fund3_SBISmallcap!B53,"mmm-yyyy")</f>
        <v>Jan-2029</v>
      </c>
      <c r="B563" s="34" t="n">
        <f aca="false">SIP_Fund3_SBISmallcap!B53</f>
        <v>47119</v>
      </c>
      <c r="C563" s="35" t="n">
        <f aca="false">SIP_Fund3_SBISmallcap!C53</f>
        <v>7000</v>
      </c>
      <c r="D563" s="36" t="n">
        <f aca="false">SIP_Fund3_SBISmallcap!D53</f>
        <v>297.444935168077</v>
      </c>
      <c r="E563" s="37" t="n">
        <f aca="false">SIP_Fund3_SBISmallcap!E53</f>
        <v>23.5337676738201</v>
      </c>
      <c r="F563" s="33" t="n">
        <f aca="false">Assumptions!$C$5-B563</f>
        <v>2570</v>
      </c>
      <c r="G563" s="36" t="n">
        <f aca="false">Assumptions!$D$23*(1+Assumptions!$F$23)^((Assumptions!$C$5-Assumptions!$C$4)/365)</f>
        <v>795.766940037429</v>
      </c>
      <c r="H563" s="35" t="n">
        <f aca="false">E563*G563</f>
        <v>18727.3942893476</v>
      </c>
      <c r="I563" s="47" t="n">
        <f aca="false">IF(F563&lt;365,Assumptions!$G$23,IF(F563&lt;=730,Assumptions!$H$23,Assumptions!$I$23))</f>
        <v>0</v>
      </c>
      <c r="J563" s="35" t="n">
        <f aca="false">H563*I563</f>
        <v>0</v>
      </c>
      <c r="K563" s="35" t="n">
        <f aca="false">H563-J563</f>
        <v>18727.3942893476</v>
      </c>
      <c r="L563" s="35" t="n">
        <f aca="false">K563-C563</f>
        <v>11727.3942893476</v>
      </c>
      <c r="M563" s="33" t="str">
        <f aca="false">IF(F563&gt;365,"LTCG","STCG")</f>
        <v>LTCG</v>
      </c>
      <c r="N563" s="47" t="n">
        <f aca="false">IF(M563="LTCG",Assumptions!$C$12,Assumptions!$C$11)</f>
        <v>0.125</v>
      </c>
      <c r="O563" s="33" t="str">
        <f aca="false">IF(M563="STCG",MAX(L563,0)*Assumptions!$C$11,"agg. below")</f>
        <v>agg. below</v>
      </c>
    </row>
    <row r="564" customFormat="false" ht="15" hidden="false" customHeight="false" outlineLevel="1" collapsed="false">
      <c r="A564" s="38" t="str">
        <f aca="false">TEXT(SIP_Fund3_SBISmallcap!B54,"mmm-yyyy")</f>
        <v>Feb-2029</v>
      </c>
      <c r="B564" s="39" t="n">
        <f aca="false">SIP_Fund3_SBISmallcap!B54</f>
        <v>47150</v>
      </c>
      <c r="C564" s="40" t="n">
        <f aca="false">SIP_Fund3_SBISmallcap!C54</f>
        <v>7000</v>
      </c>
      <c r="D564" s="41" t="n">
        <f aca="false">SIP_Fund3_SBISmallcap!D54</f>
        <v>300.996702141454</v>
      </c>
      <c r="E564" s="42" t="n">
        <f aca="false">SIP_Fund3_SBISmallcap!E54</f>
        <v>23.2560687549006</v>
      </c>
      <c r="F564" s="38" t="n">
        <f aca="false">Assumptions!$C$5-B564</f>
        <v>2539</v>
      </c>
      <c r="G564" s="41" t="n">
        <f aca="false">Assumptions!$D$23*(1+Assumptions!$F$23)^((Assumptions!$C$5-Assumptions!$C$4)/365)</f>
        <v>795.766940037429</v>
      </c>
      <c r="H564" s="40" t="n">
        <f aca="false">E564*G564</f>
        <v>18506.4106703873</v>
      </c>
      <c r="I564" s="48" t="n">
        <f aca="false">IF(F564&lt;365,Assumptions!$G$23,IF(F564&lt;=730,Assumptions!$H$23,Assumptions!$I$23))</f>
        <v>0</v>
      </c>
      <c r="J564" s="40" t="n">
        <f aca="false">H564*I564</f>
        <v>0</v>
      </c>
      <c r="K564" s="40" t="n">
        <f aca="false">H564-J564</f>
        <v>18506.4106703873</v>
      </c>
      <c r="L564" s="40" t="n">
        <f aca="false">K564-C564</f>
        <v>11506.4106703873</v>
      </c>
      <c r="M564" s="38" t="str">
        <f aca="false">IF(F564&gt;365,"LTCG","STCG")</f>
        <v>LTCG</v>
      </c>
      <c r="N564" s="48" t="n">
        <f aca="false">IF(M564="LTCG",Assumptions!$C$12,Assumptions!$C$11)</f>
        <v>0.125</v>
      </c>
      <c r="O564" s="38" t="str">
        <f aca="false">IF(M564="STCG",MAX(L564,0)*Assumptions!$C$11,"agg. below")</f>
        <v>agg. below</v>
      </c>
    </row>
    <row r="565" customFormat="false" ht="15" hidden="false" customHeight="false" outlineLevel="1" collapsed="false">
      <c r="A565" s="33" t="str">
        <f aca="false">TEXT(SIP_Fund3_SBISmallcap!B55,"mmm-yyyy")</f>
        <v>Mar-2029</v>
      </c>
      <c r="B565" s="34" t="n">
        <f aca="false">SIP_Fund3_SBISmallcap!B55</f>
        <v>47178</v>
      </c>
      <c r="C565" s="35" t="n">
        <f aca="false">SIP_Fund3_SBISmallcap!C55</f>
        <v>7000</v>
      </c>
      <c r="D565" s="36" t="n">
        <f aca="false">SIP_Fund3_SBISmallcap!D55</f>
        <v>304.241189215874</v>
      </c>
      <c r="E565" s="37" t="n">
        <f aca="false">SIP_Fund3_SBISmallcap!E55</f>
        <v>23.0080615252695</v>
      </c>
      <c r="F565" s="33" t="n">
        <f aca="false">Assumptions!$C$5-B565</f>
        <v>2511</v>
      </c>
      <c r="G565" s="36" t="n">
        <f aca="false">Assumptions!$D$23*(1+Assumptions!$F$23)^((Assumptions!$C$5-Assumptions!$C$4)/365)</f>
        <v>795.766940037429</v>
      </c>
      <c r="H565" s="35" t="n">
        <f aca="false">E565*G565</f>
        <v>18309.0547161567</v>
      </c>
      <c r="I565" s="47" t="n">
        <f aca="false">IF(F565&lt;365,Assumptions!$G$23,IF(F565&lt;=730,Assumptions!$H$23,Assumptions!$I$23))</f>
        <v>0</v>
      </c>
      <c r="J565" s="35" t="n">
        <f aca="false">H565*I565</f>
        <v>0</v>
      </c>
      <c r="K565" s="35" t="n">
        <f aca="false">H565-J565</f>
        <v>18309.0547161567</v>
      </c>
      <c r="L565" s="35" t="n">
        <f aca="false">K565-C565</f>
        <v>11309.0547161567</v>
      </c>
      <c r="M565" s="33" t="str">
        <f aca="false">IF(F565&gt;365,"LTCG","STCG")</f>
        <v>LTCG</v>
      </c>
      <c r="N565" s="47" t="n">
        <f aca="false">IF(M565="LTCG",Assumptions!$C$12,Assumptions!$C$11)</f>
        <v>0.125</v>
      </c>
      <c r="O565" s="33" t="str">
        <f aca="false">IF(M565="STCG",MAX(L565,0)*Assumptions!$C$11,"agg. below")</f>
        <v>agg. below</v>
      </c>
    </row>
    <row r="566" customFormat="false" ht="15" hidden="false" customHeight="false" outlineLevel="1" collapsed="false">
      <c r="A566" s="38" t="str">
        <f aca="false">TEXT(SIP_Fund3_SBISmallcap!B56,"mmm-yyyy")</f>
        <v>Apr-2029</v>
      </c>
      <c r="B566" s="39" t="n">
        <f aca="false">SIP_Fund3_SBISmallcap!B56</f>
        <v>47209</v>
      </c>
      <c r="C566" s="40" t="n">
        <f aca="false">SIP_Fund3_SBISmallcap!C56</f>
        <v>7000</v>
      </c>
      <c r="D566" s="41" t="n">
        <f aca="false">SIP_Fund3_SBISmallcap!D56</f>
        <v>307.874109733371</v>
      </c>
      <c r="E566" s="42" t="n">
        <f aca="false">SIP_Fund3_SBISmallcap!E56</f>
        <v>22.7365659491869</v>
      </c>
      <c r="F566" s="38" t="n">
        <f aca="false">Assumptions!$C$5-B566</f>
        <v>2480</v>
      </c>
      <c r="G566" s="41" t="n">
        <f aca="false">Assumptions!$D$23*(1+Assumptions!$F$23)^((Assumptions!$C$5-Assumptions!$C$4)/365)</f>
        <v>795.766940037429</v>
      </c>
      <c r="H566" s="40" t="n">
        <f aca="false">E566*G566</f>
        <v>18093.0075123437</v>
      </c>
      <c r="I566" s="48" t="n">
        <f aca="false">IF(F566&lt;365,Assumptions!$G$23,IF(F566&lt;=730,Assumptions!$H$23,Assumptions!$I$23))</f>
        <v>0</v>
      </c>
      <c r="J566" s="40" t="n">
        <f aca="false">H566*I566</f>
        <v>0</v>
      </c>
      <c r="K566" s="40" t="n">
        <f aca="false">H566-J566</f>
        <v>18093.0075123437</v>
      </c>
      <c r="L566" s="40" t="n">
        <f aca="false">K566-C566</f>
        <v>11093.0075123437</v>
      </c>
      <c r="M566" s="38" t="str">
        <f aca="false">IF(F566&gt;365,"LTCG","STCG")</f>
        <v>LTCG</v>
      </c>
      <c r="N566" s="48" t="n">
        <f aca="false">IF(M566="LTCG",Assumptions!$C$12,Assumptions!$C$11)</f>
        <v>0.125</v>
      </c>
      <c r="O566" s="38" t="str">
        <f aca="false">IF(M566="STCG",MAX(L566,0)*Assumptions!$C$11,"agg. below")</f>
        <v>agg. below</v>
      </c>
    </row>
    <row r="567" customFormat="false" ht="15" hidden="false" customHeight="false" outlineLevel="1" collapsed="false">
      <c r="A567" s="33" t="str">
        <f aca="false">TEXT(SIP_Fund3_SBISmallcap!B57,"mmm-yyyy")</f>
        <v>May-2029</v>
      </c>
      <c r="B567" s="34" t="n">
        <f aca="false">SIP_Fund3_SBISmallcap!B57</f>
        <v>47239</v>
      </c>
      <c r="C567" s="35" t="n">
        <f aca="false">SIP_Fund3_SBISmallcap!C57</f>
        <v>7000</v>
      </c>
      <c r="D567" s="36" t="n">
        <f aca="false">SIP_Fund3_SBISmallcap!D57</f>
        <v>311.431137920141</v>
      </c>
      <c r="E567" s="37" t="n">
        <f aca="false">SIP_Fund3_SBISmallcap!E57</f>
        <v>22.476878987595</v>
      </c>
      <c r="F567" s="33" t="n">
        <f aca="false">Assumptions!$C$5-B567</f>
        <v>2450</v>
      </c>
      <c r="G567" s="36" t="n">
        <f aca="false">Assumptions!$D$23*(1+Assumptions!$F$23)^((Assumptions!$C$5-Assumptions!$C$4)/365)</f>
        <v>795.766940037429</v>
      </c>
      <c r="H567" s="35" t="n">
        <f aca="false">E567*G567</f>
        <v>17886.35721355</v>
      </c>
      <c r="I567" s="47" t="n">
        <f aca="false">IF(F567&lt;365,Assumptions!$G$23,IF(F567&lt;=730,Assumptions!$H$23,Assumptions!$I$23))</f>
        <v>0</v>
      </c>
      <c r="J567" s="35" t="n">
        <f aca="false">H567*I567</f>
        <v>0</v>
      </c>
      <c r="K567" s="35" t="n">
        <f aca="false">H567-J567</f>
        <v>17886.35721355</v>
      </c>
      <c r="L567" s="35" t="n">
        <f aca="false">K567-C567</f>
        <v>10886.35721355</v>
      </c>
      <c r="M567" s="33" t="str">
        <f aca="false">IF(F567&gt;365,"LTCG","STCG")</f>
        <v>LTCG</v>
      </c>
      <c r="N567" s="47" t="n">
        <f aca="false">IF(M567="LTCG",Assumptions!$C$12,Assumptions!$C$11)</f>
        <v>0.125</v>
      </c>
      <c r="O567" s="33" t="str">
        <f aca="false">IF(M567="STCG",MAX(L567,0)*Assumptions!$C$11,"agg. below")</f>
        <v>agg. below</v>
      </c>
    </row>
    <row r="568" customFormat="false" ht="15" hidden="false" customHeight="false" outlineLevel="1" collapsed="false">
      <c r="A568" s="38" t="str">
        <f aca="false">TEXT(SIP_Fund3_SBISmallcap!B58,"mmm-yyyy")</f>
        <v>Jun-2029</v>
      </c>
      <c r="B568" s="39" t="n">
        <f aca="false">SIP_Fund3_SBISmallcap!B58</f>
        <v>47270</v>
      </c>
      <c r="C568" s="40" t="n">
        <f aca="false">SIP_Fund3_SBISmallcap!C58</f>
        <v>7000</v>
      </c>
      <c r="D568" s="41" t="n">
        <f aca="false">SIP_Fund3_SBISmallcap!D58</f>
        <v>315.149913059213</v>
      </c>
      <c r="E568" s="42" t="n">
        <f aca="false">SIP_Fund3_SBISmallcap!E58</f>
        <v>22.2116513758479</v>
      </c>
      <c r="F568" s="38" t="n">
        <f aca="false">Assumptions!$C$5-B568</f>
        <v>2419</v>
      </c>
      <c r="G568" s="41" t="n">
        <f aca="false">Assumptions!$D$23*(1+Assumptions!$F$23)^((Assumptions!$C$5-Assumptions!$C$4)/365)</f>
        <v>795.766940037429</v>
      </c>
      <c r="H568" s="40" t="n">
        <f aca="false">E568*G568</f>
        <v>17675.2978485366</v>
      </c>
      <c r="I568" s="48" t="n">
        <f aca="false">IF(F568&lt;365,Assumptions!$G$23,IF(F568&lt;=730,Assumptions!$H$23,Assumptions!$I$23))</f>
        <v>0</v>
      </c>
      <c r="J568" s="40" t="n">
        <f aca="false">H568*I568</f>
        <v>0</v>
      </c>
      <c r="K568" s="40" t="n">
        <f aca="false">H568-J568</f>
        <v>17675.2978485366</v>
      </c>
      <c r="L568" s="40" t="n">
        <f aca="false">K568-C568</f>
        <v>10675.2978485366</v>
      </c>
      <c r="M568" s="38" t="str">
        <f aca="false">IF(F568&gt;365,"LTCG","STCG")</f>
        <v>LTCG</v>
      </c>
      <c r="N568" s="48" t="n">
        <f aca="false">IF(M568="LTCG",Assumptions!$C$12,Assumptions!$C$11)</f>
        <v>0.125</v>
      </c>
      <c r="O568" s="38" t="str">
        <f aca="false">IF(M568="STCG",MAX(L568,0)*Assumptions!$C$11,"agg. below")</f>
        <v>agg. below</v>
      </c>
    </row>
    <row r="569" customFormat="false" ht="15" hidden="false" customHeight="false" outlineLevel="1" collapsed="false">
      <c r="A569" s="33" t="str">
        <f aca="false">TEXT(SIP_Fund3_SBISmallcap!B59,"mmm-yyyy")</f>
        <v>Jul-2029</v>
      </c>
      <c r="B569" s="34" t="n">
        <f aca="false">SIP_Fund3_SBISmallcap!B59</f>
        <v>47300</v>
      </c>
      <c r="C569" s="35" t="n">
        <f aca="false">SIP_Fund3_SBISmallcap!C59</f>
        <v>7000</v>
      </c>
      <c r="D569" s="36" t="n">
        <f aca="false">SIP_Fund3_SBISmallcap!D59</f>
        <v>318.791002349833</v>
      </c>
      <c r="E569" s="37" t="n">
        <f aca="false">SIP_Fund3_SBISmallcap!E59</f>
        <v>21.9579597554588</v>
      </c>
      <c r="F569" s="33" t="n">
        <f aca="false">Assumptions!$C$5-B569</f>
        <v>2389</v>
      </c>
      <c r="G569" s="36" t="n">
        <f aca="false">Assumptions!$D$23*(1+Assumptions!$F$23)^((Assumptions!$C$5-Assumptions!$C$4)/365)</f>
        <v>795.766940037429</v>
      </c>
      <c r="H569" s="35" t="n">
        <f aca="false">E569*G569</f>
        <v>17473.4184440664</v>
      </c>
      <c r="I569" s="47" t="n">
        <f aca="false">IF(F569&lt;365,Assumptions!$G$23,IF(F569&lt;=730,Assumptions!$H$23,Assumptions!$I$23))</f>
        <v>0</v>
      </c>
      <c r="J569" s="35" t="n">
        <f aca="false">H569*I569</f>
        <v>0</v>
      </c>
      <c r="K569" s="35" t="n">
        <f aca="false">H569-J569</f>
        <v>17473.4184440664</v>
      </c>
      <c r="L569" s="35" t="n">
        <f aca="false">K569-C569</f>
        <v>10473.4184440664</v>
      </c>
      <c r="M569" s="33" t="str">
        <f aca="false">IF(F569&gt;365,"LTCG","STCG")</f>
        <v>LTCG</v>
      </c>
      <c r="N569" s="47" t="n">
        <f aca="false">IF(M569="LTCG",Assumptions!$C$12,Assumptions!$C$11)</f>
        <v>0.125</v>
      </c>
      <c r="O569" s="33" t="str">
        <f aca="false">IF(M569="STCG",MAX(L569,0)*Assumptions!$C$11,"agg. below")</f>
        <v>agg. below</v>
      </c>
    </row>
    <row r="570" customFormat="false" ht="15" hidden="false" customHeight="false" outlineLevel="1" collapsed="false">
      <c r="A570" s="38" t="str">
        <f aca="false">TEXT(SIP_Fund3_SBISmallcap!B60,"mmm-yyyy")</f>
        <v>Aug-2029</v>
      </c>
      <c r="B570" s="39" t="n">
        <f aca="false">SIP_Fund3_SBISmallcap!B60</f>
        <v>47331</v>
      </c>
      <c r="C570" s="40" t="n">
        <f aca="false">SIP_Fund3_SBISmallcap!C60</f>
        <v>7000</v>
      </c>
      <c r="D570" s="41" t="n">
        <f aca="false">SIP_Fund3_SBISmallcap!D60</f>
        <v>322.59766106102</v>
      </c>
      <c r="E570" s="42" t="n">
        <f aca="false">SIP_Fund3_SBISmallcap!E60</f>
        <v>21.698855400802</v>
      </c>
      <c r="F570" s="38" t="n">
        <f aca="false">Assumptions!$C$5-B570</f>
        <v>2358</v>
      </c>
      <c r="G570" s="41" t="n">
        <f aca="false">Assumptions!$D$23*(1+Assumptions!$F$23)^((Assumptions!$C$5-Assumptions!$C$4)/365)</f>
        <v>795.766940037429</v>
      </c>
      <c r="H570" s="40" t="n">
        <f aca="false">E570*G570</f>
        <v>17267.2317646109</v>
      </c>
      <c r="I570" s="48" t="n">
        <f aca="false">IF(F570&lt;365,Assumptions!$G$23,IF(F570&lt;=730,Assumptions!$H$23,Assumptions!$I$23))</f>
        <v>0</v>
      </c>
      <c r="J570" s="40" t="n">
        <f aca="false">H570*I570</f>
        <v>0</v>
      </c>
      <c r="K570" s="40" t="n">
        <f aca="false">H570-J570</f>
        <v>17267.2317646109</v>
      </c>
      <c r="L570" s="40" t="n">
        <f aca="false">K570-C570</f>
        <v>10267.2317646109</v>
      </c>
      <c r="M570" s="38" t="str">
        <f aca="false">IF(F570&gt;365,"LTCG","STCG")</f>
        <v>LTCG</v>
      </c>
      <c r="N570" s="48" t="n">
        <f aca="false">IF(M570="LTCG",Assumptions!$C$12,Assumptions!$C$11)</f>
        <v>0.125</v>
      </c>
      <c r="O570" s="38" t="str">
        <f aca="false">IF(M570="STCG",MAX(L570,0)*Assumptions!$C$11,"agg. below")</f>
        <v>agg. below</v>
      </c>
    </row>
    <row r="571" customFormat="false" ht="15" hidden="false" customHeight="false" outlineLevel="1" collapsed="false">
      <c r="A571" s="33" t="str">
        <f aca="false">TEXT(SIP_Fund3_SBISmallcap!B61,"mmm-yyyy")</f>
        <v>Sep-2029</v>
      </c>
      <c r="B571" s="34" t="n">
        <f aca="false">SIP_Fund3_SBISmallcap!B61</f>
        <v>47362</v>
      </c>
      <c r="C571" s="35" t="n">
        <f aca="false">SIP_Fund3_SBISmallcap!C61</f>
        <v>7000</v>
      </c>
      <c r="D571" s="36" t="n">
        <f aca="false">SIP_Fund3_SBISmallcap!D61</f>
        <v>326.449774789558</v>
      </c>
      <c r="E571" s="37" t="n">
        <f aca="false">SIP_Fund3_SBISmallcap!E61</f>
        <v>21.4428084825988</v>
      </c>
      <c r="F571" s="33" t="n">
        <f aca="false">Assumptions!$C$5-B571</f>
        <v>2327</v>
      </c>
      <c r="G571" s="36" t="n">
        <f aca="false">Assumptions!$D$23*(1+Assumptions!$F$23)^((Assumptions!$C$5-Assumptions!$C$4)/365)</f>
        <v>795.766940037429</v>
      </c>
      <c r="H571" s="35" t="n">
        <f aca="false">E571*G571</f>
        <v>17063.4780920063</v>
      </c>
      <c r="I571" s="47" t="n">
        <f aca="false">IF(F571&lt;365,Assumptions!$G$23,IF(F571&lt;=730,Assumptions!$H$23,Assumptions!$I$23))</f>
        <v>0</v>
      </c>
      <c r="J571" s="35" t="n">
        <f aca="false">H571*I571</f>
        <v>0</v>
      </c>
      <c r="K571" s="35" t="n">
        <f aca="false">H571-J571</f>
        <v>17063.4780920063</v>
      </c>
      <c r="L571" s="35" t="n">
        <f aca="false">K571-C571</f>
        <v>10063.4780920063</v>
      </c>
      <c r="M571" s="33" t="str">
        <f aca="false">IF(F571&gt;365,"LTCG","STCG")</f>
        <v>LTCG</v>
      </c>
      <c r="N571" s="47" t="n">
        <f aca="false">IF(M571="LTCG",Assumptions!$C$12,Assumptions!$C$11)</f>
        <v>0.125</v>
      </c>
      <c r="O571" s="33" t="str">
        <f aca="false">IF(M571="STCG",MAX(L571,0)*Assumptions!$C$11,"agg. below")</f>
        <v>agg. below</v>
      </c>
    </row>
    <row r="572" customFormat="false" ht="15" hidden="false" customHeight="false" outlineLevel="1" collapsed="false">
      <c r="A572" s="38" t="str">
        <f aca="false">TEXT(SIP_Fund3_SBISmallcap!B62,"mmm-yyyy")</f>
        <v>Oct-2029</v>
      </c>
      <c r="B572" s="39" t="n">
        <f aca="false">SIP_Fund3_SBISmallcap!B62</f>
        <v>47392</v>
      </c>
      <c r="C572" s="40" t="n">
        <f aca="false">SIP_Fund3_SBISmallcap!C62</f>
        <v>7000</v>
      </c>
      <c r="D572" s="41" t="n">
        <f aca="false">SIP_Fund3_SBISmallcap!D62</f>
        <v>330.221417203714</v>
      </c>
      <c r="E572" s="42" t="n">
        <f aca="false">SIP_Fund3_SBISmallcap!E62</f>
        <v>21.1978982443822</v>
      </c>
      <c r="F572" s="38" t="n">
        <f aca="false">Assumptions!$C$5-B572</f>
        <v>2297</v>
      </c>
      <c r="G572" s="41" t="n">
        <f aca="false">Assumptions!$D$23*(1+Assumptions!$F$23)^((Assumptions!$C$5-Assumptions!$C$4)/365)</f>
        <v>795.766940037429</v>
      </c>
      <c r="H572" s="40" t="n">
        <f aca="false">E572*G572</f>
        <v>16868.5866211568</v>
      </c>
      <c r="I572" s="48" t="n">
        <f aca="false">IF(F572&lt;365,Assumptions!$G$23,IF(F572&lt;=730,Assumptions!$H$23,Assumptions!$I$23))</f>
        <v>0</v>
      </c>
      <c r="J572" s="40" t="n">
        <f aca="false">H572*I572</f>
        <v>0</v>
      </c>
      <c r="K572" s="40" t="n">
        <f aca="false">H572-J572</f>
        <v>16868.5866211568</v>
      </c>
      <c r="L572" s="40" t="n">
        <f aca="false">K572-C572</f>
        <v>9868.58662115679</v>
      </c>
      <c r="M572" s="38" t="str">
        <f aca="false">IF(F572&gt;365,"LTCG","STCG")</f>
        <v>LTCG</v>
      </c>
      <c r="N572" s="48" t="n">
        <f aca="false">IF(M572="LTCG",Assumptions!$C$12,Assumptions!$C$11)</f>
        <v>0.125</v>
      </c>
      <c r="O572" s="38" t="str">
        <f aca="false">IF(M572="STCG",MAX(L572,0)*Assumptions!$C$11,"agg. below")</f>
        <v>agg. below</v>
      </c>
    </row>
    <row r="573" customFormat="false" ht="15" hidden="false" customHeight="false" outlineLevel="1" collapsed="false">
      <c r="A573" s="33" t="str">
        <f aca="false">TEXT(SIP_Fund3_SBISmallcap!B63,"mmm-yyyy")</f>
        <v>Nov-2029</v>
      </c>
      <c r="B573" s="34" t="n">
        <f aca="false">SIP_Fund3_SBISmallcap!B63</f>
        <v>47423</v>
      </c>
      <c r="C573" s="35" t="n">
        <f aca="false">SIP_Fund3_SBISmallcap!C63</f>
        <v>7000</v>
      </c>
      <c r="D573" s="36" t="n">
        <f aca="false">SIP_Fund3_SBISmallcap!D63</f>
        <v>334.164565614909</v>
      </c>
      <c r="E573" s="37" t="n">
        <f aca="false">SIP_Fund3_SBISmallcap!E63</f>
        <v>20.9477626304245</v>
      </c>
      <c r="F573" s="33" t="n">
        <f aca="false">Assumptions!$C$5-B573</f>
        <v>2266</v>
      </c>
      <c r="G573" s="36" t="n">
        <f aca="false">Assumptions!$D$23*(1+Assumptions!$F$23)^((Assumptions!$C$5-Assumptions!$C$4)/365)</f>
        <v>795.766940037429</v>
      </c>
      <c r="H573" s="35" t="n">
        <f aca="false">E573*G573</f>
        <v>16669.5369690433</v>
      </c>
      <c r="I573" s="47" t="n">
        <f aca="false">IF(F573&lt;365,Assumptions!$G$23,IF(F573&lt;=730,Assumptions!$H$23,Assumptions!$I$23))</f>
        <v>0</v>
      </c>
      <c r="J573" s="35" t="n">
        <f aca="false">H573*I573</f>
        <v>0</v>
      </c>
      <c r="K573" s="35" t="n">
        <f aca="false">H573-J573</f>
        <v>16669.5369690433</v>
      </c>
      <c r="L573" s="35" t="n">
        <f aca="false">K573-C573</f>
        <v>9669.53696904328</v>
      </c>
      <c r="M573" s="33" t="str">
        <f aca="false">IF(F573&gt;365,"LTCG","STCG")</f>
        <v>LTCG</v>
      </c>
      <c r="N573" s="47" t="n">
        <f aca="false">IF(M573="LTCG",Assumptions!$C$12,Assumptions!$C$11)</f>
        <v>0.125</v>
      </c>
      <c r="O573" s="33" t="str">
        <f aca="false">IF(M573="STCG",MAX(L573,0)*Assumptions!$C$11,"agg. below")</f>
        <v>agg. below</v>
      </c>
    </row>
    <row r="574" customFormat="false" ht="15" hidden="false" customHeight="false" outlineLevel="1" collapsed="false">
      <c r="A574" s="38" t="str">
        <f aca="false">TEXT(SIP_Fund3_SBISmallcap!B64,"mmm-yyyy")</f>
        <v>Dec-2029</v>
      </c>
      <c r="B574" s="39" t="n">
        <f aca="false">SIP_Fund3_SBISmallcap!B64</f>
        <v>47453</v>
      </c>
      <c r="C574" s="40" t="n">
        <f aca="false">SIP_Fund3_SBISmallcap!C64</f>
        <v>7000</v>
      </c>
      <c r="D574" s="41" t="n">
        <f aca="false">SIP_Fund3_SBISmallcap!D64</f>
        <v>338.025340981636</v>
      </c>
      <c r="E574" s="42" t="n">
        <f aca="false">SIP_Fund3_SBISmallcap!E64</f>
        <v>20.7085065861387</v>
      </c>
      <c r="F574" s="38" t="n">
        <f aca="false">Assumptions!$C$5-B574</f>
        <v>2236</v>
      </c>
      <c r="G574" s="41" t="n">
        <f aca="false">Assumptions!$D$23*(1+Assumptions!$F$23)^((Assumptions!$C$5-Assumptions!$C$4)/365)</f>
        <v>795.766940037429</v>
      </c>
      <c r="H574" s="40" t="n">
        <f aca="false">E574*G574</f>
        <v>16479.1449187966</v>
      </c>
      <c r="I574" s="48" t="n">
        <f aca="false">IF(F574&lt;365,Assumptions!$G$23,IF(F574&lt;=730,Assumptions!$H$23,Assumptions!$I$23))</f>
        <v>0</v>
      </c>
      <c r="J574" s="40" t="n">
        <f aca="false">H574*I574</f>
        <v>0</v>
      </c>
      <c r="K574" s="40" t="n">
        <f aca="false">H574-J574</f>
        <v>16479.1449187966</v>
      </c>
      <c r="L574" s="40" t="n">
        <f aca="false">K574-C574</f>
        <v>9479.14491879656</v>
      </c>
      <c r="M574" s="38" t="str">
        <f aca="false">IF(F574&gt;365,"LTCG","STCG")</f>
        <v>LTCG</v>
      </c>
      <c r="N574" s="48" t="n">
        <f aca="false">IF(M574="LTCG",Assumptions!$C$12,Assumptions!$C$11)</f>
        <v>0.125</v>
      </c>
      <c r="O574" s="38" t="str">
        <f aca="false">IF(M574="STCG",MAX(L574,0)*Assumptions!$C$11,"agg. below")</f>
        <v>agg. below</v>
      </c>
    </row>
    <row r="575" customFormat="false" ht="15" hidden="false" customHeight="false" outlineLevel="1" collapsed="false">
      <c r="A575" s="33" t="str">
        <f aca="false">TEXT(SIP_Fund3_SBISmallcap!B65,"mmm-yyyy")</f>
        <v>Jan-2030</v>
      </c>
      <c r="B575" s="34" t="n">
        <f aca="false">SIP_Fund3_SBISmallcap!B65</f>
        <v>47484</v>
      </c>
      <c r="C575" s="35" t="n">
        <f aca="false">SIP_Fund3_SBISmallcap!C65</f>
        <v>8000</v>
      </c>
      <c r="D575" s="36" t="n">
        <f aca="false">SIP_Fund3_SBISmallcap!D65</f>
        <v>342.061675443289</v>
      </c>
      <c r="E575" s="37" t="n">
        <f aca="false">SIP_Fund3_SBISmallcap!E65</f>
        <v>23.3875952037963</v>
      </c>
      <c r="F575" s="33" t="n">
        <f aca="false">Assumptions!$C$5-B575</f>
        <v>2205</v>
      </c>
      <c r="G575" s="36" t="n">
        <f aca="false">Assumptions!$D$23*(1+Assumptions!$F$23)^((Assumptions!$C$5-Assumptions!$C$4)/365)</f>
        <v>795.766940037429</v>
      </c>
      <c r="H575" s="35" t="n">
        <f aca="false">E575*G575</f>
        <v>18611.0750701591</v>
      </c>
      <c r="I575" s="47" t="n">
        <f aca="false">IF(F575&lt;365,Assumptions!$G$23,IF(F575&lt;=730,Assumptions!$H$23,Assumptions!$I$23))</f>
        <v>0</v>
      </c>
      <c r="J575" s="35" t="n">
        <f aca="false">H575*I575</f>
        <v>0</v>
      </c>
      <c r="K575" s="35" t="n">
        <f aca="false">H575-J575</f>
        <v>18611.0750701591</v>
      </c>
      <c r="L575" s="35" t="n">
        <f aca="false">K575-C575</f>
        <v>10611.0750701591</v>
      </c>
      <c r="M575" s="33" t="str">
        <f aca="false">IF(F575&gt;365,"LTCG","STCG")</f>
        <v>LTCG</v>
      </c>
      <c r="N575" s="47" t="n">
        <f aca="false">IF(M575="LTCG",Assumptions!$C$12,Assumptions!$C$11)</f>
        <v>0.125</v>
      </c>
      <c r="O575" s="33" t="str">
        <f aca="false">IF(M575="STCG",MAX(L575,0)*Assumptions!$C$11,"agg. below")</f>
        <v>agg. below</v>
      </c>
    </row>
    <row r="576" customFormat="false" ht="15" hidden="false" customHeight="false" outlineLevel="1" collapsed="false">
      <c r="A576" s="38" t="str">
        <f aca="false">TEXT(SIP_Fund3_SBISmallcap!B66,"mmm-yyyy")</f>
        <v>Feb-2030</v>
      </c>
      <c r="B576" s="39" t="n">
        <f aca="false">SIP_Fund3_SBISmallcap!B66</f>
        <v>47515</v>
      </c>
      <c r="C576" s="40" t="n">
        <f aca="false">SIP_Fund3_SBISmallcap!C66</f>
        <v>8000</v>
      </c>
      <c r="D576" s="41" t="n">
        <f aca="false">SIP_Fund3_SBISmallcap!D66</f>
        <v>346.146207462672</v>
      </c>
      <c r="E576" s="42" t="n">
        <f aca="false">SIP_Fund3_SBISmallcap!E66</f>
        <v>23.1116211228826</v>
      </c>
      <c r="F576" s="38" t="n">
        <f aca="false">Assumptions!$C$5-B576</f>
        <v>2174</v>
      </c>
      <c r="G576" s="41" t="n">
        <f aca="false">Assumptions!$D$23*(1+Assumptions!$F$23)^((Assumptions!$C$5-Assumptions!$C$4)/365)</f>
        <v>795.766940037429</v>
      </c>
      <c r="H576" s="40" t="n">
        <f aca="false">E576*G576</f>
        <v>18391.4640202607</v>
      </c>
      <c r="I576" s="48" t="n">
        <f aca="false">IF(F576&lt;365,Assumptions!$G$23,IF(F576&lt;=730,Assumptions!$H$23,Assumptions!$I$23))</f>
        <v>0</v>
      </c>
      <c r="J576" s="40" t="n">
        <f aca="false">H576*I576</f>
        <v>0</v>
      </c>
      <c r="K576" s="40" t="n">
        <f aca="false">H576-J576</f>
        <v>18391.4640202607</v>
      </c>
      <c r="L576" s="40" t="n">
        <f aca="false">K576-C576</f>
        <v>10391.4640202607</v>
      </c>
      <c r="M576" s="38" t="str">
        <f aca="false">IF(F576&gt;365,"LTCG","STCG")</f>
        <v>LTCG</v>
      </c>
      <c r="N576" s="48" t="n">
        <f aca="false">IF(M576="LTCG",Assumptions!$C$12,Assumptions!$C$11)</f>
        <v>0.125</v>
      </c>
      <c r="O576" s="38" t="str">
        <f aca="false">IF(M576="STCG",MAX(L576,0)*Assumptions!$C$11,"agg. below")</f>
        <v>agg. below</v>
      </c>
    </row>
    <row r="577" customFormat="false" ht="15" hidden="false" customHeight="false" outlineLevel="1" collapsed="false">
      <c r="A577" s="33" t="str">
        <f aca="false">TEXT(SIP_Fund3_SBISmallcap!B67,"mmm-yyyy")</f>
        <v>Mar-2030</v>
      </c>
      <c r="B577" s="34" t="n">
        <f aca="false">SIP_Fund3_SBISmallcap!B67</f>
        <v>47543</v>
      </c>
      <c r="C577" s="35" t="n">
        <f aca="false">SIP_Fund3_SBISmallcap!C67</f>
        <v>8000</v>
      </c>
      <c r="D577" s="36" t="n">
        <f aca="false">SIP_Fund3_SBISmallcap!D67</f>
        <v>349.877367598255</v>
      </c>
      <c r="E577" s="37" t="n">
        <f aca="false">SIP_Fund3_SBISmallcap!E67</f>
        <v>22.8651543108269</v>
      </c>
      <c r="F577" s="33" t="n">
        <f aca="false">Assumptions!$C$5-B577</f>
        <v>2146</v>
      </c>
      <c r="G577" s="36" t="n">
        <f aca="false">Assumptions!$D$23*(1+Assumptions!$F$23)^((Assumptions!$C$5-Assumptions!$C$4)/365)</f>
        <v>795.766940037429</v>
      </c>
      <c r="H577" s="35" t="n">
        <f aca="false">E577*G577</f>
        <v>18195.3338794103</v>
      </c>
      <c r="I577" s="47" t="n">
        <f aca="false">IF(F577&lt;365,Assumptions!$G$23,IF(F577&lt;=730,Assumptions!$H$23,Assumptions!$I$23))</f>
        <v>0</v>
      </c>
      <c r="J577" s="35" t="n">
        <f aca="false">H577*I577</f>
        <v>0</v>
      </c>
      <c r="K577" s="35" t="n">
        <f aca="false">H577-J577</f>
        <v>18195.3338794103</v>
      </c>
      <c r="L577" s="35" t="n">
        <f aca="false">K577-C577</f>
        <v>10195.3338794103</v>
      </c>
      <c r="M577" s="33" t="str">
        <f aca="false">IF(F577&gt;365,"LTCG","STCG")</f>
        <v>LTCG</v>
      </c>
      <c r="N577" s="47" t="n">
        <f aca="false">IF(M577="LTCG",Assumptions!$C$12,Assumptions!$C$11)</f>
        <v>0.125</v>
      </c>
      <c r="O577" s="33" t="str">
        <f aca="false">IF(M577="STCG",MAX(L577,0)*Assumptions!$C$11,"agg. below")</f>
        <v>agg. below</v>
      </c>
    </row>
    <row r="578" customFormat="false" ht="15" hidden="false" customHeight="false" outlineLevel="1" collapsed="false">
      <c r="A578" s="38" t="str">
        <f aca="false">TEXT(SIP_Fund3_SBISmallcap!B68,"mmm-yyyy")</f>
        <v>Apr-2030</v>
      </c>
      <c r="B578" s="39" t="n">
        <f aca="false">SIP_Fund3_SBISmallcap!B68</f>
        <v>47574</v>
      </c>
      <c r="C578" s="40" t="n">
        <f aca="false">SIP_Fund3_SBISmallcap!C68</f>
        <v>8000</v>
      </c>
      <c r="D578" s="41" t="n">
        <f aca="false">SIP_Fund3_SBISmallcap!D68</f>
        <v>354.055226193377</v>
      </c>
      <c r="E578" s="42" t="n">
        <f aca="false">SIP_Fund3_SBISmallcap!E68</f>
        <v>22.5953450426702</v>
      </c>
      <c r="F578" s="38" t="n">
        <f aca="false">Assumptions!$C$5-B578</f>
        <v>2115</v>
      </c>
      <c r="G578" s="41" t="n">
        <f aca="false">Assumptions!$D$23*(1+Assumptions!$F$23)^((Assumptions!$C$5-Assumptions!$C$4)/365)</f>
        <v>795.766940037429</v>
      </c>
      <c r="H578" s="40" t="n">
        <f aca="false">E578*G578</f>
        <v>17980.6285836956</v>
      </c>
      <c r="I578" s="48" t="n">
        <f aca="false">IF(F578&lt;365,Assumptions!$G$23,IF(F578&lt;=730,Assumptions!$H$23,Assumptions!$I$23))</f>
        <v>0</v>
      </c>
      <c r="J578" s="40" t="n">
        <f aca="false">H578*I578</f>
        <v>0</v>
      </c>
      <c r="K578" s="40" t="n">
        <f aca="false">H578-J578</f>
        <v>17980.6285836956</v>
      </c>
      <c r="L578" s="40" t="n">
        <f aca="false">K578-C578</f>
        <v>9980.62858369557</v>
      </c>
      <c r="M578" s="38" t="str">
        <f aca="false">IF(F578&gt;365,"LTCG","STCG")</f>
        <v>LTCG</v>
      </c>
      <c r="N578" s="48" t="n">
        <f aca="false">IF(M578="LTCG",Assumptions!$C$12,Assumptions!$C$11)</f>
        <v>0.125</v>
      </c>
      <c r="O578" s="38" t="str">
        <f aca="false">IF(M578="STCG",MAX(L578,0)*Assumptions!$C$11,"agg. below")</f>
        <v>agg. below</v>
      </c>
    </row>
    <row r="579" customFormat="false" ht="15" hidden="false" customHeight="false" outlineLevel="1" collapsed="false">
      <c r="A579" s="33" t="str">
        <f aca="false">TEXT(SIP_Fund3_SBISmallcap!B69,"mmm-yyyy")</f>
        <v>May-2030</v>
      </c>
      <c r="B579" s="34" t="n">
        <f aca="false">SIP_Fund3_SBISmallcap!B69</f>
        <v>47604</v>
      </c>
      <c r="C579" s="35" t="n">
        <f aca="false">SIP_Fund3_SBISmallcap!C69</f>
        <v>8000</v>
      </c>
      <c r="D579" s="36" t="n">
        <f aca="false">SIP_Fund3_SBISmallcap!D69</f>
        <v>358.145808608162</v>
      </c>
      <c r="E579" s="37" t="n">
        <f aca="false">SIP_Fund3_SBISmallcap!E69</f>
        <v>22.3372710435726</v>
      </c>
      <c r="F579" s="33" t="n">
        <f aca="false">Assumptions!$C$5-B579</f>
        <v>2085</v>
      </c>
      <c r="G579" s="36" t="n">
        <f aca="false">Assumptions!$D$23*(1+Assumptions!$F$23)^((Assumptions!$C$5-Assumptions!$C$4)/365)</f>
        <v>795.766940037429</v>
      </c>
      <c r="H579" s="35" t="n">
        <f aca="false">E579*G579</f>
        <v>17775.2618271305</v>
      </c>
      <c r="I579" s="47" t="n">
        <f aca="false">IF(F579&lt;365,Assumptions!$G$23,IF(F579&lt;=730,Assumptions!$H$23,Assumptions!$I$23))</f>
        <v>0</v>
      </c>
      <c r="J579" s="35" t="n">
        <f aca="false">H579*I579</f>
        <v>0</v>
      </c>
      <c r="K579" s="35" t="n">
        <f aca="false">H579-J579</f>
        <v>17775.2618271305</v>
      </c>
      <c r="L579" s="35" t="n">
        <f aca="false">K579-C579</f>
        <v>9775.26182713047</v>
      </c>
      <c r="M579" s="33" t="str">
        <f aca="false">IF(F579&gt;365,"LTCG","STCG")</f>
        <v>LTCG</v>
      </c>
      <c r="N579" s="47" t="n">
        <f aca="false">IF(M579="LTCG",Assumptions!$C$12,Assumptions!$C$11)</f>
        <v>0.125</v>
      </c>
      <c r="O579" s="33" t="str">
        <f aca="false">IF(M579="STCG",MAX(L579,0)*Assumptions!$C$11,"agg. below")</f>
        <v>agg. below</v>
      </c>
    </row>
    <row r="580" customFormat="false" ht="15" hidden="false" customHeight="false" outlineLevel="1" collapsed="false">
      <c r="A580" s="38" t="str">
        <f aca="false">TEXT(SIP_Fund3_SBISmallcap!B70,"mmm-yyyy")</f>
        <v>Jun-2030</v>
      </c>
      <c r="B580" s="39" t="n">
        <f aca="false">SIP_Fund3_SBISmallcap!B70</f>
        <v>47635</v>
      </c>
      <c r="C580" s="40" t="n">
        <f aca="false">SIP_Fund3_SBISmallcap!C70</f>
        <v>8000</v>
      </c>
      <c r="D580" s="41" t="n">
        <f aca="false">SIP_Fund3_SBISmallcap!D70</f>
        <v>362.422400018094</v>
      </c>
      <c r="E580" s="42" t="n">
        <f aca="false">SIP_Fund3_SBISmallcap!E70</f>
        <v>22.073690808296</v>
      </c>
      <c r="F580" s="38" t="n">
        <f aca="false">Assumptions!$C$5-B580</f>
        <v>2054</v>
      </c>
      <c r="G580" s="41" t="n">
        <f aca="false">Assumptions!$D$23*(1+Assumptions!$F$23)^((Assumptions!$C$5-Assumptions!$C$4)/365)</f>
        <v>795.766940037429</v>
      </c>
      <c r="H580" s="40" t="n">
        <f aca="false">E580*G580</f>
        <v>17565.5133898501</v>
      </c>
      <c r="I580" s="48" t="n">
        <f aca="false">IF(F580&lt;365,Assumptions!$G$23,IF(F580&lt;=730,Assumptions!$H$23,Assumptions!$I$23))</f>
        <v>0</v>
      </c>
      <c r="J580" s="40" t="n">
        <f aca="false">H580*I580</f>
        <v>0</v>
      </c>
      <c r="K580" s="40" t="n">
        <f aca="false">H580-J580</f>
        <v>17565.5133898501</v>
      </c>
      <c r="L580" s="40" t="n">
        <f aca="false">K580-C580</f>
        <v>9565.51338985007</v>
      </c>
      <c r="M580" s="38" t="str">
        <f aca="false">IF(F580&gt;365,"LTCG","STCG")</f>
        <v>LTCG</v>
      </c>
      <c r="N580" s="48" t="n">
        <f aca="false">IF(M580="LTCG",Assumptions!$C$12,Assumptions!$C$11)</f>
        <v>0.125</v>
      </c>
      <c r="O580" s="38" t="str">
        <f aca="false">IF(M580="STCG",MAX(L580,0)*Assumptions!$C$11,"agg. below")</f>
        <v>agg. below</v>
      </c>
    </row>
    <row r="581" customFormat="false" ht="15" hidden="false" customHeight="false" outlineLevel="1" collapsed="false">
      <c r="A581" s="33" t="str">
        <f aca="false">TEXT(SIP_Fund3_SBISmallcap!B71,"mmm-yyyy")</f>
        <v>Jul-2030</v>
      </c>
      <c r="B581" s="34" t="n">
        <f aca="false">SIP_Fund3_SBISmallcap!B71</f>
        <v>47665</v>
      </c>
      <c r="C581" s="35" t="n">
        <f aca="false">SIP_Fund3_SBISmallcap!C71</f>
        <v>8000</v>
      </c>
      <c r="D581" s="36" t="n">
        <f aca="false">SIP_Fund3_SBISmallcap!D71</f>
        <v>366.609652702308</v>
      </c>
      <c r="E581" s="37" t="n">
        <f aca="false">SIP_Fund3_SBISmallcap!E71</f>
        <v>21.8215749122572</v>
      </c>
      <c r="F581" s="33" t="n">
        <f aca="false">Assumptions!$C$5-B581</f>
        <v>2024</v>
      </c>
      <c r="G581" s="36" t="n">
        <f aca="false">Assumptions!$D$23*(1+Assumptions!$F$23)^((Assumptions!$C$5-Assumptions!$C$4)/365)</f>
        <v>795.766940037429</v>
      </c>
      <c r="H581" s="35" t="n">
        <f aca="false">E581*G581</f>
        <v>17364.8878947244</v>
      </c>
      <c r="I581" s="47" t="n">
        <f aca="false">IF(F581&lt;365,Assumptions!$G$23,IF(F581&lt;=730,Assumptions!$H$23,Assumptions!$I$23))</f>
        <v>0</v>
      </c>
      <c r="J581" s="35" t="n">
        <f aca="false">H581*I581</f>
        <v>0</v>
      </c>
      <c r="K581" s="35" t="n">
        <f aca="false">H581-J581</f>
        <v>17364.8878947244</v>
      </c>
      <c r="L581" s="35" t="n">
        <f aca="false">K581-C581</f>
        <v>9364.88789472441</v>
      </c>
      <c r="M581" s="33" t="str">
        <f aca="false">IF(F581&gt;365,"LTCG","STCG")</f>
        <v>LTCG</v>
      </c>
      <c r="N581" s="47" t="n">
        <f aca="false">IF(M581="LTCG",Assumptions!$C$12,Assumptions!$C$11)</f>
        <v>0.125</v>
      </c>
      <c r="O581" s="33" t="str">
        <f aca="false">IF(M581="STCG",MAX(L581,0)*Assumptions!$C$11,"agg. below")</f>
        <v>agg. below</v>
      </c>
    </row>
    <row r="582" customFormat="false" ht="15" hidden="false" customHeight="false" outlineLevel="1" collapsed="false">
      <c r="A582" s="38" t="str">
        <f aca="false">TEXT(SIP_Fund3_SBISmallcap!B72,"mmm-yyyy")</f>
        <v>Aug-2030</v>
      </c>
      <c r="B582" s="39" t="n">
        <f aca="false">SIP_Fund3_SBISmallcap!B72</f>
        <v>47696</v>
      </c>
      <c r="C582" s="40" t="n">
        <f aca="false">SIP_Fund3_SBISmallcap!C72</f>
        <v>8000</v>
      </c>
      <c r="D582" s="41" t="n">
        <f aca="false">SIP_Fund3_SBISmallcap!D72</f>
        <v>370.987310220173</v>
      </c>
      <c r="E582" s="42" t="n">
        <f aca="false">SIP_Fund3_SBISmallcap!E72</f>
        <v>21.5640799014181</v>
      </c>
      <c r="F582" s="38" t="n">
        <f aca="false">Assumptions!$C$5-B582</f>
        <v>1993</v>
      </c>
      <c r="G582" s="41" t="n">
        <f aca="false">Assumptions!$D$23*(1+Assumptions!$F$23)^((Assumptions!$C$5-Assumptions!$C$4)/365)</f>
        <v>795.766940037429</v>
      </c>
      <c r="H582" s="40" t="n">
        <f aca="false">E582*G582</f>
        <v>17159.9818778741</v>
      </c>
      <c r="I582" s="48" t="n">
        <f aca="false">IF(F582&lt;365,Assumptions!$G$23,IF(F582&lt;=730,Assumptions!$H$23,Assumptions!$I$23))</f>
        <v>0</v>
      </c>
      <c r="J582" s="40" t="n">
        <f aca="false">H582*I582</f>
        <v>0</v>
      </c>
      <c r="K582" s="40" t="n">
        <f aca="false">H582-J582</f>
        <v>17159.9818778741</v>
      </c>
      <c r="L582" s="40" t="n">
        <f aca="false">K582-C582</f>
        <v>9159.98187787415</v>
      </c>
      <c r="M582" s="38" t="str">
        <f aca="false">IF(F582&gt;365,"LTCG","STCG")</f>
        <v>LTCG</v>
      </c>
      <c r="N582" s="48" t="n">
        <f aca="false">IF(M582="LTCG",Assumptions!$C$12,Assumptions!$C$11)</f>
        <v>0.125</v>
      </c>
      <c r="O582" s="38" t="str">
        <f aca="false">IF(M582="STCG",MAX(L582,0)*Assumptions!$C$11,"agg. below")</f>
        <v>agg. below</v>
      </c>
    </row>
    <row r="583" customFormat="false" ht="15" hidden="false" customHeight="false" outlineLevel="1" collapsed="false">
      <c r="A583" s="33" t="str">
        <f aca="false">TEXT(SIP_Fund3_SBISmallcap!B73,"mmm-yyyy")</f>
        <v>Sep-2030</v>
      </c>
      <c r="B583" s="34" t="n">
        <f aca="false">SIP_Fund3_SBISmallcap!B73</f>
        <v>47727</v>
      </c>
      <c r="C583" s="35" t="n">
        <f aca="false">SIP_Fund3_SBISmallcap!C73</f>
        <v>8000</v>
      </c>
      <c r="D583" s="36" t="n">
        <f aca="false">SIP_Fund3_SBISmallcap!D73</f>
        <v>375.417241007992</v>
      </c>
      <c r="E583" s="37" t="n">
        <f aca="false">SIP_Fund3_SBISmallcap!E73</f>
        <v>21.3096233367442</v>
      </c>
      <c r="F583" s="33" t="n">
        <f aca="false">Assumptions!$C$5-B583</f>
        <v>1962</v>
      </c>
      <c r="G583" s="36" t="n">
        <f aca="false">Assumptions!$D$23*(1+Assumptions!$F$23)^((Assumptions!$C$5-Assumptions!$C$4)/365)</f>
        <v>795.766940037429</v>
      </c>
      <c r="H583" s="35" t="n">
        <f aca="false">E583*G583</f>
        <v>16957.4937560311</v>
      </c>
      <c r="I583" s="47" t="n">
        <f aca="false">IF(F583&lt;365,Assumptions!$G$23,IF(F583&lt;=730,Assumptions!$H$23,Assumptions!$I$23))</f>
        <v>0</v>
      </c>
      <c r="J583" s="35" t="n">
        <f aca="false">H583*I583</f>
        <v>0</v>
      </c>
      <c r="K583" s="35" t="n">
        <f aca="false">H583-J583</f>
        <v>16957.4937560311</v>
      </c>
      <c r="L583" s="35" t="n">
        <f aca="false">K583-C583</f>
        <v>8957.49375603109</v>
      </c>
      <c r="M583" s="33" t="str">
        <f aca="false">IF(F583&gt;365,"LTCG","STCG")</f>
        <v>LTCG</v>
      </c>
      <c r="N583" s="47" t="n">
        <f aca="false">IF(M583="LTCG",Assumptions!$C$12,Assumptions!$C$11)</f>
        <v>0.125</v>
      </c>
      <c r="O583" s="33" t="str">
        <f aca="false">IF(M583="STCG",MAX(L583,0)*Assumptions!$C$11,"agg. below")</f>
        <v>agg. below</v>
      </c>
    </row>
    <row r="584" customFormat="false" ht="15" hidden="false" customHeight="false" outlineLevel="1" collapsed="false">
      <c r="A584" s="38" t="str">
        <f aca="false">TEXT(SIP_Fund3_SBISmallcap!B74,"mmm-yyyy")</f>
        <v>Oct-2030</v>
      </c>
      <c r="B584" s="39" t="n">
        <f aca="false">SIP_Fund3_SBISmallcap!B74</f>
        <v>47757</v>
      </c>
      <c r="C584" s="40" t="n">
        <f aca="false">SIP_Fund3_SBISmallcap!C74</f>
        <v>8000</v>
      </c>
      <c r="D584" s="41" t="n">
        <f aca="false">SIP_Fund3_SBISmallcap!D74</f>
        <v>379.754629784271</v>
      </c>
      <c r="E584" s="42" t="n">
        <f aca="false">SIP_Fund3_SBISmallcap!E74</f>
        <v>21.0662342801313</v>
      </c>
      <c r="F584" s="38" t="n">
        <f aca="false">Assumptions!$C$5-B584</f>
        <v>1932</v>
      </c>
      <c r="G584" s="41" t="n">
        <f aca="false">Assumptions!$D$23*(1+Assumptions!$F$23)^((Assumptions!$C$5-Assumptions!$C$4)/365)</f>
        <v>795.766940037429</v>
      </c>
      <c r="H584" s="40" t="n">
        <f aca="false">E584*G584</f>
        <v>16763.8127912117</v>
      </c>
      <c r="I584" s="48" t="n">
        <f aca="false">IF(F584&lt;365,Assumptions!$G$23,IF(F584&lt;=730,Assumptions!$H$23,Assumptions!$I$23))</f>
        <v>0</v>
      </c>
      <c r="J584" s="40" t="n">
        <f aca="false">H584*I584</f>
        <v>0</v>
      </c>
      <c r="K584" s="40" t="n">
        <f aca="false">H584-J584</f>
        <v>16763.8127912117</v>
      </c>
      <c r="L584" s="40" t="n">
        <f aca="false">K584-C584</f>
        <v>8763.81279121171</v>
      </c>
      <c r="M584" s="38" t="str">
        <f aca="false">IF(F584&gt;365,"LTCG","STCG")</f>
        <v>LTCG</v>
      </c>
      <c r="N584" s="48" t="n">
        <f aca="false">IF(M584="LTCG",Assumptions!$C$12,Assumptions!$C$11)</f>
        <v>0.125</v>
      </c>
      <c r="O584" s="38" t="str">
        <f aca="false">IF(M584="STCG",MAX(L584,0)*Assumptions!$C$11,"agg. below")</f>
        <v>agg. below</v>
      </c>
    </row>
    <row r="585" customFormat="false" ht="15" hidden="false" customHeight="false" outlineLevel="1" collapsed="false">
      <c r="A585" s="33" t="str">
        <f aca="false">TEXT(SIP_Fund3_SBISmallcap!B75,"mmm-yyyy")</f>
        <v>Nov-2030</v>
      </c>
      <c r="B585" s="34" t="n">
        <f aca="false">SIP_Fund3_SBISmallcap!B75</f>
        <v>47788</v>
      </c>
      <c r="C585" s="35" t="n">
        <f aca="false">SIP_Fund3_SBISmallcap!C75</f>
        <v>8000</v>
      </c>
      <c r="D585" s="36" t="n">
        <f aca="false">SIP_Fund3_SBISmallcap!D75</f>
        <v>384.289250457145</v>
      </c>
      <c r="E585" s="37" t="n">
        <f aca="false">SIP_Fund3_SBISmallcap!E75</f>
        <v>20.8176523035274</v>
      </c>
      <c r="F585" s="33" t="n">
        <f aca="false">Assumptions!$C$5-B585</f>
        <v>1901</v>
      </c>
      <c r="G585" s="36" t="n">
        <f aca="false">Assumptions!$D$23*(1+Assumptions!$F$23)^((Assumptions!$C$5-Assumptions!$C$4)/365)</f>
        <v>795.766940037429</v>
      </c>
      <c r="H585" s="35" t="n">
        <f aca="false">E585*G585</f>
        <v>16565.9994723411</v>
      </c>
      <c r="I585" s="47" t="n">
        <f aca="false">IF(F585&lt;365,Assumptions!$G$23,IF(F585&lt;=730,Assumptions!$H$23,Assumptions!$I$23))</f>
        <v>0</v>
      </c>
      <c r="J585" s="35" t="n">
        <f aca="false">H585*I585</f>
        <v>0</v>
      </c>
      <c r="K585" s="35" t="n">
        <f aca="false">H585-J585</f>
        <v>16565.9994723411</v>
      </c>
      <c r="L585" s="35" t="n">
        <f aca="false">K585-C585</f>
        <v>8565.99947234115</v>
      </c>
      <c r="M585" s="33" t="str">
        <f aca="false">IF(F585&gt;365,"LTCG","STCG")</f>
        <v>LTCG</v>
      </c>
      <c r="N585" s="47" t="n">
        <f aca="false">IF(M585="LTCG",Assumptions!$C$12,Assumptions!$C$11)</f>
        <v>0.125</v>
      </c>
      <c r="O585" s="33" t="str">
        <f aca="false">IF(M585="STCG",MAX(L585,0)*Assumptions!$C$11,"agg. below")</f>
        <v>agg. below</v>
      </c>
    </row>
    <row r="586" customFormat="false" ht="15" hidden="false" customHeight="false" outlineLevel="1" collapsed="false">
      <c r="A586" s="38" t="str">
        <f aca="false">TEXT(SIP_Fund3_SBISmallcap!B76,"mmm-yyyy")</f>
        <v>Dec-2030</v>
      </c>
      <c r="B586" s="39" t="n">
        <f aca="false">SIP_Fund3_SBISmallcap!B76</f>
        <v>47818</v>
      </c>
      <c r="C586" s="40" t="n">
        <f aca="false">SIP_Fund3_SBISmallcap!C76</f>
        <v>8000</v>
      </c>
      <c r="D586" s="41" t="n">
        <f aca="false">SIP_Fund3_SBISmallcap!D76</f>
        <v>388.729142128882</v>
      </c>
      <c r="E586" s="42" t="n">
        <f aca="false">SIP_Fund3_SBISmallcap!E76</f>
        <v>20.5798823216285</v>
      </c>
      <c r="F586" s="38" t="n">
        <f aca="false">Assumptions!$C$5-B586</f>
        <v>1871</v>
      </c>
      <c r="G586" s="41" t="n">
        <f aca="false">Assumptions!$D$23*(1+Assumptions!$F$23)^((Assumptions!$C$5-Assumptions!$C$4)/365)</f>
        <v>795.766940037429</v>
      </c>
      <c r="H586" s="40" t="n">
        <f aca="false">E586*G586</f>
        <v>16376.7899814127</v>
      </c>
      <c r="I586" s="48" t="n">
        <f aca="false">IF(F586&lt;365,Assumptions!$G$23,IF(F586&lt;=730,Assumptions!$H$23,Assumptions!$I$23))</f>
        <v>0</v>
      </c>
      <c r="J586" s="40" t="n">
        <f aca="false">H586*I586</f>
        <v>0</v>
      </c>
      <c r="K586" s="40" t="n">
        <f aca="false">H586-J586</f>
        <v>16376.7899814127</v>
      </c>
      <c r="L586" s="40" t="n">
        <f aca="false">K586-C586</f>
        <v>8376.78998141273</v>
      </c>
      <c r="M586" s="38" t="str">
        <f aca="false">IF(F586&gt;365,"LTCG","STCG")</f>
        <v>LTCG</v>
      </c>
      <c r="N586" s="48" t="n">
        <f aca="false">IF(M586="LTCG",Assumptions!$C$12,Assumptions!$C$11)</f>
        <v>0.125</v>
      </c>
      <c r="O586" s="38" t="str">
        <f aca="false">IF(M586="STCG",MAX(L586,0)*Assumptions!$C$11,"agg. below")</f>
        <v>agg. below</v>
      </c>
    </row>
    <row r="587" customFormat="false" ht="15" hidden="false" customHeight="false" outlineLevel="1" collapsed="false">
      <c r="A587" s="33" t="str">
        <f aca="false">TEXT(SIP_Fund3_SBISmallcap!B77,"mmm-yyyy")</f>
        <v>Jan-2031</v>
      </c>
      <c r="B587" s="34" t="n">
        <f aca="false">SIP_Fund3_SBISmallcap!B77</f>
        <v>47849</v>
      </c>
      <c r="C587" s="35" t="n">
        <f aca="false">SIP_Fund3_SBISmallcap!C77</f>
        <v>9000</v>
      </c>
      <c r="D587" s="36" t="n">
        <f aca="false">SIP_Fund3_SBISmallcap!D77</f>
        <v>393.370926759782</v>
      </c>
      <c r="E587" s="37" t="n">
        <f aca="false">SIP_Fund3_SBISmallcap!E77</f>
        <v>22.8791692211051</v>
      </c>
      <c r="F587" s="33" t="n">
        <f aca="false">Assumptions!$C$5-B587</f>
        <v>1840</v>
      </c>
      <c r="G587" s="36" t="n">
        <f aca="false">Assumptions!$D$23*(1+Assumptions!$F$23)^((Assumptions!$C$5-Assumptions!$C$4)/365)</f>
        <v>795.766940037429</v>
      </c>
      <c r="H587" s="35" t="n">
        <f aca="false">E587*G587</f>
        <v>18206.4864816773</v>
      </c>
      <c r="I587" s="47" t="n">
        <f aca="false">IF(F587&lt;365,Assumptions!$G$23,IF(F587&lt;=730,Assumptions!$H$23,Assumptions!$I$23))</f>
        <v>0</v>
      </c>
      <c r="J587" s="35" t="n">
        <f aca="false">H587*I587</f>
        <v>0</v>
      </c>
      <c r="K587" s="35" t="n">
        <f aca="false">H587-J587</f>
        <v>18206.4864816773</v>
      </c>
      <c r="L587" s="35" t="n">
        <f aca="false">K587-C587</f>
        <v>9206.48648167734</v>
      </c>
      <c r="M587" s="33" t="str">
        <f aca="false">IF(F587&gt;365,"LTCG","STCG")</f>
        <v>LTCG</v>
      </c>
      <c r="N587" s="47" t="n">
        <f aca="false">IF(M587="LTCG",Assumptions!$C$12,Assumptions!$C$11)</f>
        <v>0.125</v>
      </c>
      <c r="O587" s="33" t="str">
        <f aca="false">IF(M587="STCG",MAX(L587,0)*Assumptions!$C$11,"agg. below")</f>
        <v>agg. below</v>
      </c>
    </row>
    <row r="588" customFormat="false" ht="15" hidden="false" customHeight="false" outlineLevel="1" collapsed="false">
      <c r="A588" s="38" t="str">
        <f aca="false">TEXT(SIP_Fund3_SBISmallcap!B78,"mmm-yyyy")</f>
        <v>Feb-2031</v>
      </c>
      <c r="B588" s="39" t="n">
        <f aca="false">SIP_Fund3_SBISmallcap!B78</f>
        <v>47880</v>
      </c>
      <c r="C588" s="40" t="n">
        <f aca="false">SIP_Fund3_SBISmallcap!C78</f>
        <v>9000</v>
      </c>
      <c r="D588" s="41" t="n">
        <f aca="false">SIP_Fund3_SBISmallcap!D78</f>
        <v>398.068138582073</v>
      </c>
      <c r="E588" s="42" t="n">
        <f aca="false">SIP_Fund3_SBISmallcap!E78</f>
        <v>22.609194576733</v>
      </c>
      <c r="F588" s="38" t="n">
        <f aca="false">Assumptions!$C$5-B588</f>
        <v>1809</v>
      </c>
      <c r="G588" s="41" t="n">
        <f aca="false">Assumptions!$D$23*(1+Assumptions!$F$23)^((Assumptions!$C$5-Assumptions!$C$4)/365)</f>
        <v>795.766940037429</v>
      </c>
      <c r="H588" s="40" t="n">
        <f aca="false">E588*G588</f>
        <v>17991.6495850377</v>
      </c>
      <c r="I588" s="48" t="n">
        <f aca="false">IF(F588&lt;365,Assumptions!$G$23,IF(F588&lt;=730,Assumptions!$H$23,Assumptions!$I$23))</f>
        <v>0</v>
      </c>
      <c r="J588" s="40" t="n">
        <f aca="false">H588*I588</f>
        <v>0</v>
      </c>
      <c r="K588" s="40" t="n">
        <f aca="false">H588-J588</f>
        <v>17991.6495850377</v>
      </c>
      <c r="L588" s="40" t="n">
        <f aca="false">K588-C588</f>
        <v>8991.64958503766</v>
      </c>
      <c r="M588" s="38" t="str">
        <f aca="false">IF(F588&gt;365,"LTCG","STCG")</f>
        <v>LTCG</v>
      </c>
      <c r="N588" s="48" t="n">
        <f aca="false">IF(M588="LTCG",Assumptions!$C$12,Assumptions!$C$11)</f>
        <v>0.125</v>
      </c>
      <c r="O588" s="38" t="str">
        <f aca="false">IF(M588="STCG",MAX(L588,0)*Assumptions!$C$11,"agg. below")</f>
        <v>agg. below</v>
      </c>
    </row>
    <row r="589" customFormat="false" ht="15" hidden="false" customHeight="false" outlineLevel="1" collapsed="false">
      <c r="A589" s="33" t="str">
        <f aca="false">TEXT(SIP_Fund3_SBISmallcap!B79,"mmm-yyyy")</f>
        <v>Mar-2031</v>
      </c>
      <c r="B589" s="34" t="n">
        <f aca="false">SIP_Fund3_SBISmallcap!B79</f>
        <v>47908</v>
      </c>
      <c r="C589" s="35" t="n">
        <f aca="false">SIP_Fund3_SBISmallcap!C79</f>
        <v>9000</v>
      </c>
      <c r="D589" s="36" t="n">
        <f aca="false">SIP_Fund3_SBISmallcap!D79</f>
        <v>402.358972737993</v>
      </c>
      <c r="E589" s="37" t="n">
        <f aca="false">SIP_Fund3_SBISmallcap!E79</f>
        <v>22.3680857388524</v>
      </c>
      <c r="F589" s="33" t="n">
        <f aca="false">Assumptions!$C$5-B589</f>
        <v>1781</v>
      </c>
      <c r="G589" s="36" t="n">
        <f aca="false">Assumptions!$D$23*(1+Assumptions!$F$23)^((Assumptions!$C$5-Assumptions!$C$4)/365)</f>
        <v>795.766940037429</v>
      </c>
      <c r="H589" s="35" t="n">
        <f aca="false">E589*G589</f>
        <v>17799.7831429014</v>
      </c>
      <c r="I589" s="47" t="n">
        <f aca="false">IF(F589&lt;365,Assumptions!$G$23,IF(F589&lt;=730,Assumptions!$H$23,Assumptions!$I$23))</f>
        <v>0</v>
      </c>
      <c r="J589" s="35" t="n">
        <f aca="false">H589*I589</f>
        <v>0</v>
      </c>
      <c r="K589" s="35" t="n">
        <f aca="false">H589-J589</f>
        <v>17799.7831429014</v>
      </c>
      <c r="L589" s="35" t="n">
        <f aca="false">K589-C589</f>
        <v>8799.78314290143</v>
      </c>
      <c r="M589" s="33" t="str">
        <f aca="false">IF(F589&gt;365,"LTCG","STCG")</f>
        <v>LTCG</v>
      </c>
      <c r="N589" s="47" t="n">
        <f aca="false">IF(M589="LTCG",Assumptions!$C$12,Assumptions!$C$11)</f>
        <v>0.125</v>
      </c>
      <c r="O589" s="33" t="str">
        <f aca="false">IF(M589="STCG",MAX(L589,0)*Assumptions!$C$11,"agg. below")</f>
        <v>agg. below</v>
      </c>
    </row>
    <row r="590" customFormat="false" ht="15" hidden="false" customHeight="false" outlineLevel="1" collapsed="false">
      <c r="A590" s="38" t="str">
        <f aca="false">TEXT(SIP_Fund3_SBISmallcap!B80,"mmm-yyyy")</f>
        <v>Apr-2031</v>
      </c>
      <c r="B590" s="39" t="n">
        <f aca="false">SIP_Fund3_SBISmallcap!B80</f>
        <v>47939</v>
      </c>
      <c r="C590" s="40" t="n">
        <f aca="false">SIP_Fund3_SBISmallcap!C80</f>
        <v>9000</v>
      </c>
      <c r="D590" s="41" t="n">
        <f aca="false">SIP_Fund3_SBISmallcap!D80</f>
        <v>407.163510122383</v>
      </c>
      <c r="E590" s="42" t="n">
        <f aca="false">SIP_Fund3_SBISmallcap!E80</f>
        <v>22.1041418895687</v>
      </c>
      <c r="F590" s="38" t="n">
        <f aca="false">Assumptions!$C$5-B590</f>
        <v>1750</v>
      </c>
      <c r="G590" s="41" t="n">
        <f aca="false">Assumptions!$D$23*(1+Assumptions!$F$23)^((Assumptions!$C$5-Assumptions!$C$4)/365)</f>
        <v>795.766940037429</v>
      </c>
      <c r="H590" s="40" t="n">
        <f aca="false">E590*G590</f>
        <v>17589.7453536152</v>
      </c>
      <c r="I590" s="48" t="n">
        <f aca="false">IF(F590&lt;365,Assumptions!$G$23,IF(F590&lt;=730,Assumptions!$H$23,Assumptions!$I$23))</f>
        <v>0</v>
      </c>
      <c r="J590" s="40" t="n">
        <f aca="false">H590*I590</f>
        <v>0</v>
      </c>
      <c r="K590" s="40" t="n">
        <f aca="false">H590-J590</f>
        <v>17589.7453536152</v>
      </c>
      <c r="L590" s="40" t="n">
        <f aca="false">K590-C590</f>
        <v>8589.74535361524</v>
      </c>
      <c r="M590" s="38" t="str">
        <f aca="false">IF(F590&gt;365,"LTCG","STCG")</f>
        <v>LTCG</v>
      </c>
      <c r="N590" s="48" t="n">
        <f aca="false">IF(M590="LTCG",Assumptions!$C$12,Assumptions!$C$11)</f>
        <v>0.125</v>
      </c>
      <c r="O590" s="38" t="str">
        <f aca="false">IF(M590="STCG",MAX(L590,0)*Assumptions!$C$11,"agg. below")</f>
        <v>agg. below</v>
      </c>
    </row>
    <row r="591" customFormat="false" ht="15" hidden="false" customHeight="false" outlineLevel="1" collapsed="false">
      <c r="A591" s="33" t="str">
        <f aca="false">TEXT(SIP_Fund3_SBISmallcap!B81,"mmm-yyyy")</f>
        <v>May-2031</v>
      </c>
      <c r="B591" s="34" t="n">
        <f aca="false">SIP_Fund3_SBISmallcap!B81</f>
        <v>47969</v>
      </c>
      <c r="C591" s="35" t="n">
        <f aca="false">SIP_Fund3_SBISmallcap!C81</f>
        <v>9000</v>
      </c>
      <c r="D591" s="36" t="n">
        <f aca="false">SIP_Fund3_SBISmallcap!D81</f>
        <v>411.867679899386</v>
      </c>
      <c r="E591" s="37" t="n">
        <f aca="false">SIP_Fund3_SBISmallcap!E81</f>
        <v>21.8516781947993</v>
      </c>
      <c r="F591" s="33" t="n">
        <f aca="false">Assumptions!$C$5-B591</f>
        <v>1720</v>
      </c>
      <c r="G591" s="36" t="n">
        <f aca="false">Assumptions!$D$23*(1+Assumptions!$F$23)^((Assumptions!$C$5-Assumptions!$C$4)/365)</f>
        <v>795.766940037429</v>
      </c>
      <c r="H591" s="35" t="n">
        <f aca="false">E591*G591</f>
        <v>17388.8430917581</v>
      </c>
      <c r="I591" s="47" t="n">
        <f aca="false">IF(F591&lt;365,Assumptions!$G$23,IF(F591&lt;=730,Assumptions!$H$23,Assumptions!$I$23))</f>
        <v>0</v>
      </c>
      <c r="J591" s="35" t="n">
        <f aca="false">H591*I591</f>
        <v>0</v>
      </c>
      <c r="K591" s="35" t="n">
        <f aca="false">H591-J591</f>
        <v>17388.8430917581</v>
      </c>
      <c r="L591" s="35" t="n">
        <f aca="false">K591-C591</f>
        <v>8388.84309175807</v>
      </c>
      <c r="M591" s="33" t="str">
        <f aca="false">IF(F591&gt;365,"LTCG","STCG")</f>
        <v>LTCG</v>
      </c>
      <c r="N591" s="47" t="n">
        <f aca="false">IF(M591="LTCG",Assumptions!$C$12,Assumptions!$C$11)</f>
        <v>0.125</v>
      </c>
      <c r="O591" s="33" t="str">
        <f aca="false">IF(M591="STCG",MAX(L591,0)*Assumptions!$C$11,"agg. below")</f>
        <v>agg. below</v>
      </c>
    </row>
    <row r="592" customFormat="false" ht="15" hidden="false" customHeight="false" outlineLevel="1" collapsed="false">
      <c r="A592" s="38" t="str">
        <f aca="false">TEXT(SIP_Fund3_SBISmallcap!B82,"mmm-yyyy")</f>
        <v>Jun-2031</v>
      </c>
      <c r="B592" s="39" t="n">
        <f aca="false">SIP_Fund3_SBISmallcap!B82</f>
        <v>48000</v>
      </c>
      <c r="C592" s="40" t="n">
        <f aca="false">SIP_Fund3_SBISmallcap!C82</f>
        <v>9000</v>
      </c>
      <c r="D592" s="41" t="n">
        <f aca="false">SIP_Fund3_SBISmallcap!D82</f>
        <v>416.785760020809</v>
      </c>
      <c r="E592" s="42" t="n">
        <f aca="false">SIP_Fund3_SBISmallcap!E82</f>
        <v>21.5938279646374</v>
      </c>
      <c r="F592" s="38" t="n">
        <f aca="false">Assumptions!$C$5-B592</f>
        <v>1689</v>
      </c>
      <c r="G592" s="41" t="n">
        <f aca="false">Assumptions!$D$23*(1+Assumptions!$F$23)^((Assumptions!$C$5-Assumptions!$C$4)/365)</f>
        <v>795.766940037429</v>
      </c>
      <c r="H592" s="40" t="n">
        <f aca="false">E592*G592</f>
        <v>17183.6544031142</v>
      </c>
      <c r="I592" s="48" t="n">
        <f aca="false">IF(F592&lt;365,Assumptions!$G$23,IF(F592&lt;=730,Assumptions!$H$23,Assumptions!$I$23))</f>
        <v>0</v>
      </c>
      <c r="J592" s="40" t="n">
        <f aca="false">H592*I592</f>
        <v>0</v>
      </c>
      <c r="K592" s="40" t="n">
        <f aca="false">H592-J592</f>
        <v>17183.6544031142</v>
      </c>
      <c r="L592" s="40" t="n">
        <f aca="false">K592-C592</f>
        <v>8183.6544031142</v>
      </c>
      <c r="M592" s="38" t="str">
        <f aca="false">IF(F592&gt;365,"LTCG","STCG")</f>
        <v>LTCG</v>
      </c>
      <c r="N592" s="48" t="n">
        <f aca="false">IF(M592="LTCG",Assumptions!$C$12,Assumptions!$C$11)</f>
        <v>0.125</v>
      </c>
      <c r="O592" s="38" t="str">
        <f aca="false">IF(M592="STCG",MAX(L592,0)*Assumptions!$C$11,"agg. below")</f>
        <v>agg. below</v>
      </c>
    </row>
    <row r="593" customFormat="false" ht="15" hidden="false" customHeight="false" outlineLevel="1" collapsed="false">
      <c r="A593" s="33" t="str">
        <f aca="false">TEXT(SIP_Fund3_SBISmallcap!B83,"mmm-yyyy")</f>
        <v>Jul-2031</v>
      </c>
      <c r="B593" s="34" t="n">
        <f aca="false">SIP_Fund3_SBISmallcap!B83</f>
        <v>48030</v>
      </c>
      <c r="C593" s="35" t="n">
        <f aca="false">SIP_Fund3_SBISmallcap!C83</f>
        <v>9000</v>
      </c>
      <c r="D593" s="36" t="n">
        <f aca="false">SIP_Fund3_SBISmallcap!D83</f>
        <v>421.601100607655</v>
      </c>
      <c r="E593" s="37" t="n">
        <f aca="false">SIP_Fund3_SBISmallcap!E83</f>
        <v>21.3471928489472</v>
      </c>
      <c r="F593" s="33" t="n">
        <f aca="false">Assumptions!$C$5-B593</f>
        <v>1659</v>
      </c>
      <c r="G593" s="36" t="n">
        <f aca="false">Assumptions!$D$23*(1+Assumptions!$F$23)^((Assumptions!$C$5-Assumptions!$C$4)/365)</f>
        <v>795.766940037429</v>
      </c>
      <c r="H593" s="35" t="n">
        <f aca="false">E593*G593</f>
        <v>16987.3903317956</v>
      </c>
      <c r="I593" s="47" t="n">
        <f aca="false">IF(F593&lt;365,Assumptions!$G$23,IF(F593&lt;=730,Assumptions!$H$23,Assumptions!$I$23))</f>
        <v>0</v>
      </c>
      <c r="J593" s="35" t="n">
        <f aca="false">H593*I593</f>
        <v>0</v>
      </c>
      <c r="K593" s="35" t="n">
        <f aca="false">H593-J593</f>
        <v>16987.3903317956</v>
      </c>
      <c r="L593" s="35" t="n">
        <f aca="false">K593-C593</f>
        <v>7987.39033179562</v>
      </c>
      <c r="M593" s="33" t="str">
        <f aca="false">IF(F593&gt;365,"LTCG","STCG")</f>
        <v>LTCG</v>
      </c>
      <c r="N593" s="47" t="n">
        <f aca="false">IF(M593="LTCG",Assumptions!$C$12,Assumptions!$C$11)</f>
        <v>0.125</v>
      </c>
      <c r="O593" s="33" t="str">
        <f aca="false">IF(M593="STCG",MAX(L593,0)*Assumptions!$C$11,"agg. below")</f>
        <v>agg. below</v>
      </c>
    </row>
    <row r="594" customFormat="false" ht="15" hidden="false" customHeight="false" outlineLevel="1" collapsed="false">
      <c r="A594" s="38" t="str">
        <f aca="false">TEXT(SIP_Fund3_SBISmallcap!B84,"mmm-yyyy")</f>
        <v>Aug-2031</v>
      </c>
      <c r="B594" s="39" t="n">
        <f aca="false">SIP_Fund3_SBISmallcap!B84</f>
        <v>48061</v>
      </c>
      <c r="C594" s="40" t="n">
        <f aca="false">SIP_Fund3_SBISmallcap!C84</f>
        <v>9000</v>
      </c>
      <c r="D594" s="41" t="n">
        <f aca="false">SIP_Fund3_SBISmallcap!D84</f>
        <v>426.635406753198</v>
      </c>
      <c r="E594" s="42" t="n">
        <f aca="false">SIP_Fund3_SBISmallcap!E84</f>
        <v>21.0952955557351</v>
      </c>
      <c r="F594" s="38" t="n">
        <f aca="false">Assumptions!$C$5-B594</f>
        <v>1628</v>
      </c>
      <c r="G594" s="41" t="n">
        <f aca="false">Assumptions!$D$23*(1+Assumptions!$F$23)^((Assumptions!$C$5-Assumptions!$C$4)/365)</f>
        <v>795.766940037429</v>
      </c>
      <c r="H594" s="40" t="n">
        <f aca="false">E594*G594</f>
        <v>16786.9387935725</v>
      </c>
      <c r="I594" s="48" t="n">
        <f aca="false">IF(F594&lt;365,Assumptions!$G$23,IF(F594&lt;=730,Assumptions!$H$23,Assumptions!$I$23))</f>
        <v>0</v>
      </c>
      <c r="J594" s="40" t="n">
        <f aca="false">H594*I594</f>
        <v>0</v>
      </c>
      <c r="K594" s="40" t="n">
        <f aca="false">H594-J594</f>
        <v>16786.9387935725</v>
      </c>
      <c r="L594" s="40" t="n">
        <f aca="false">K594-C594</f>
        <v>7786.93879357254</v>
      </c>
      <c r="M594" s="38" t="str">
        <f aca="false">IF(F594&gt;365,"LTCG","STCG")</f>
        <v>LTCG</v>
      </c>
      <c r="N594" s="48" t="n">
        <f aca="false">IF(M594="LTCG",Assumptions!$C$12,Assumptions!$C$11)</f>
        <v>0.125</v>
      </c>
      <c r="O594" s="38" t="str">
        <f aca="false">IF(M594="STCG",MAX(L594,0)*Assumptions!$C$11,"agg. below")</f>
        <v>agg. below</v>
      </c>
    </row>
    <row r="595" customFormat="false" ht="15" hidden="false" customHeight="false" outlineLevel="1" collapsed="false">
      <c r="A595" s="33" t="str">
        <f aca="false">TEXT(SIP_Fund3_SBISmallcap!B85,"mmm-yyyy")</f>
        <v>Sep-2031</v>
      </c>
      <c r="B595" s="34" t="n">
        <f aca="false">SIP_Fund3_SBISmallcap!B85</f>
        <v>48092</v>
      </c>
      <c r="C595" s="35" t="n">
        <f aca="false">SIP_Fund3_SBISmallcap!C85</f>
        <v>9000</v>
      </c>
      <c r="D595" s="36" t="n">
        <f aca="false">SIP_Fund3_SBISmallcap!D85</f>
        <v>431.72982715919</v>
      </c>
      <c r="E595" s="37" t="n">
        <f aca="false">SIP_Fund3_SBISmallcap!E85</f>
        <v>20.8463706555106</v>
      </c>
      <c r="F595" s="33" t="n">
        <f aca="false">Assumptions!$C$5-B595</f>
        <v>1597</v>
      </c>
      <c r="G595" s="36" t="n">
        <f aca="false">Assumptions!$D$23*(1+Assumptions!$F$23)^((Assumptions!$C$5-Assumptions!$C$4)/365)</f>
        <v>795.766940037429</v>
      </c>
      <c r="H595" s="35" t="n">
        <f aca="false">E595*G595</f>
        <v>16588.8525874217</v>
      </c>
      <c r="I595" s="47" t="n">
        <f aca="false">IF(F595&lt;365,Assumptions!$G$23,IF(F595&lt;=730,Assumptions!$H$23,Assumptions!$I$23))</f>
        <v>0</v>
      </c>
      <c r="J595" s="35" t="n">
        <f aca="false">H595*I595</f>
        <v>0</v>
      </c>
      <c r="K595" s="35" t="n">
        <f aca="false">H595-J595</f>
        <v>16588.8525874217</v>
      </c>
      <c r="L595" s="35" t="n">
        <f aca="false">K595-C595</f>
        <v>7588.85258742172</v>
      </c>
      <c r="M595" s="33" t="str">
        <f aca="false">IF(F595&gt;365,"LTCG","STCG")</f>
        <v>LTCG</v>
      </c>
      <c r="N595" s="47" t="n">
        <f aca="false">IF(M595="LTCG",Assumptions!$C$12,Assumptions!$C$11)</f>
        <v>0.125</v>
      </c>
      <c r="O595" s="33" t="str">
        <f aca="false">IF(M595="STCG",MAX(L595,0)*Assumptions!$C$11,"agg. below")</f>
        <v>agg. below</v>
      </c>
    </row>
    <row r="596" customFormat="false" ht="15" hidden="false" customHeight="false" outlineLevel="1" collapsed="false">
      <c r="A596" s="38" t="str">
        <f aca="false">TEXT(SIP_Fund3_SBISmallcap!B86,"mmm-yyyy")</f>
        <v>Oct-2031</v>
      </c>
      <c r="B596" s="39" t="n">
        <f aca="false">SIP_Fund3_SBISmallcap!B86</f>
        <v>48122</v>
      </c>
      <c r="C596" s="40" t="n">
        <f aca="false">SIP_Fund3_SBISmallcap!C86</f>
        <v>9000</v>
      </c>
      <c r="D596" s="41" t="n">
        <f aca="false">SIP_Fund3_SBISmallcap!D86</f>
        <v>436.717824251912</v>
      </c>
      <c r="E596" s="42" t="n">
        <f aca="false">SIP_Fund3_SBISmallcap!E86</f>
        <v>20.6082726653459</v>
      </c>
      <c r="F596" s="38" t="n">
        <f aca="false">Assumptions!$C$5-B596</f>
        <v>1567</v>
      </c>
      <c r="G596" s="41" t="n">
        <f aca="false">Assumptions!$D$23*(1+Assumptions!$F$23)^((Assumptions!$C$5-Assumptions!$C$4)/365)</f>
        <v>795.766940037429</v>
      </c>
      <c r="H596" s="40" t="n">
        <f aca="false">E596*G596</f>
        <v>16399.3820783593</v>
      </c>
      <c r="I596" s="48" t="n">
        <f aca="false">IF(F596&lt;365,Assumptions!$G$23,IF(F596&lt;=730,Assumptions!$H$23,Assumptions!$I$23))</f>
        <v>0</v>
      </c>
      <c r="J596" s="40" t="n">
        <f aca="false">H596*I596</f>
        <v>0</v>
      </c>
      <c r="K596" s="40" t="n">
        <f aca="false">H596-J596</f>
        <v>16399.3820783593</v>
      </c>
      <c r="L596" s="40" t="n">
        <f aca="false">K596-C596</f>
        <v>7399.38207835929</v>
      </c>
      <c r="M596" s="38" t="str">
        <f aca="false">IF(F596&gt;365,"LTCG","STCG")</f>
        <v>LTCG</v>
      </c>
      <c r="N596" s="48" t="n">
        <f aca="false">IF(M596="LTCG",Assumptions!$C$12,Assumptions!$C$11)</f>
        <v>0.125</v>
      </c>
      <c r="O596" s="38" t="str">
        <f aca="false">IF(M596="STCG",MAX(L596,0)*Assumptions!$C$11,"agg. below")</f>
        <v>agg. below</v>
      </c>
    </row>
    <row r="597" customFormat="false" ht="15" hidden="false" customHeight="false" outlineLevel="1" collapsed="false">
      <c r="A597" s="33" t="str">
        <f aca="false">TEXT(SIP_Fund3_SBISmallcap!B87,"mmm-yyyy")</f>
        <v>Nov-2031</v>
      </c>
      <c r="B597" s="34" t="n">
        <f aca="false">SIP_Fund3_SBISmallcap!B87</f>
        <v>48153</v>
      </c>
      <c r="C597" s="35" t="n">
        <f aca="false">SIP_Fund3_SBISmallcap!C87</f>
        <v>9000</v>
      </c>
      <c r="D597" s="36" t="n">
        <f aca="false">SIP_Fund3_SBISmallcap!D87</f>
        <v>441.932638025716</v>
      </c>
      <c r="E597" s="37" t="n">
        <f aca="false">SIP_Fund3_SBISmallcap!E87</f>
        <v>20.3650946447551</v>
      </c>
      <c r="F597" s="33" t="n">
        <f aca="false">Assumptions!$C$5-B597</f>
        <v>1536</v>
      </c>
      <c r="G597" s="36" t="n">
        <f aca="false">Assumptions!$D$23*(1+Assumptions!$F$23)^((Assumptions!$C$5-Assumptions!$C$4)/365)</f>
        <v>795.766940037429</v>
      </c>
      <c r="H597" s="35" t="n">
        <f aca="false">E597*G597</f>
        <v>16205.8690490294</v>
      </c>
      <c r="I597" s="47" t="n">
        <f aca="false">IF(F597&lt;365,Assumptions!$G$23,IF(F597&lt;=730,Assumptions!$H$23,Assumptions!$I$23))</f>
        <v>0</v>
      </c>
      <c r="J597" s="35" t="n">
        <f aca="false">H597*I597</f>
        <v>0</v>
      </c>
      <c r="K597" s="35" t="n">
        <f aca="false">H597-J597</f>
        <v>16205.8690490294</v>
      </c>
      <c r="L597" s="35" t="n">
        <f aca="false">K597-C597</f>
        <v>7205.86904902939</v>
      </c>
      <c r="M597" s="33" t="str">
        <f aca="false">IF(F597&gt;365,"LTCG","STCG")</f>
        <v>LTCG</v>
      </c>
      <c r="N597" s="47" t="n">
        <f aca="false">IF(M597="LTCG",Assumptions!$C$12,Assumptions!$C$11)</f>
        <v>0.125</v>
      </c>
      <c r="O597" s="33" t="str">
        <f aca="false">IF(M597="STCG",MAX(L597,0)*Assumptions!$C$11,"agg. below")</f>
        <v>agg. below</v>
      </c>
    </row>
    <row r="598" customFormat="false" ht="15" hidden="false" customHeight="false" outlineLevel="1" collapsed="false">
      <c r="A598" s="38" t="str">
        <f aca="false">TEXT(SIP_Fund3_SBISmallcap!B88,"mmm-yyyy")</f>
        <v>Dec-2031</v>
      </c>
      <c r="B598" s="39" t="n">
        <f aca="false">SIP_Fund3_SBISmallcap!B88</f>
        <v>48183</v>
      </c>
      <c r="C598" s="40" t="n">
        <f aca="false">SIP_Fund3_SBISmallcap!C88</f>
        <v>9000</v>
      </c>
      <c r="D598" s="41" t="n">
        <f aca="false">SIP_Fund3_SBISmallcap!D88</f>
        <v>447.038513448214</v>
      </c>
      <c r="E598" s="42" t="n">
        <f aca="false">SIP_Fund3_SBISmallcap!E88</f>
        <v>20.1324935755062</v>
      </c>
      <c r="F598" s="38" t="n">
        <f aca="false">Assumptions!$C$5-B598</f>
        <v>1506</v>
      </c>
      <c r="G598" s="41" t="n">
        <f aca="false">Assumptions!$D$23*(1+Assumptions!$F$23)^((Assumptions!$C$5-Assumptions!$C$4)/365)</f>
        <v>795.766940037429</v>
      </c>
      <c r="H598" s="40" t="n">
        <f aca="false">E598*G598</f>
        <v>16020.7728079038</v>
      </c>
      <c r="I598" s="48" t="n">
        <f aca="false">IF(F598&lt;365,Assumptions!$G$23,IF(F598&lt;=730,Assumptions!$H$23,Assumptions!$I$23))</f>
        <v>0</v>
      </c>
      <c r="J598" s="40" t="n">
        <f aca="false">H598*I598</f>
        <v>0</v>
      </c>
      <c r="K598" s="40" t="n">
        <f aca="false">H598-J598</f>
        <v>16020.7728079038</v>
      </c>
      <c r="L598" s="40" t="n">
        <f aca="false">K598-C598</f>
        <v>7020.77280790377</v>
      </c>
      <c r="M598" s="38" t="str">
        <f aca="false">IF(F598&gt;365,"LTCG","STCG")</f>
        <v>LTCG</v>
      </c>
      <c r="N598" s="48" t="n">
        <f aca="false">IF(M598="LTCG",Assumptions!$C$12,Assumptions!$C$11)</f>
        <v>0.125</v>
      </c>
      <c r="O598" s="38" t="str">
        <f aca="false">IF(M598="STCG",MAX(L598,0)*Assumptions!$C$11,"agg. below")</f>
        <v>agg. below</v>
      </c>
    </row>
    <row r="599" customFormat="false" ht="15" hidden="false" customHeight="false" outlineLevel="1" collapsed="false">
      <c r="A599" s="33" t="str">
        <f aca="false">TEXT(SIP_Fund3_SBISmallcap!B89,"mmm-yyyy")</f>
        <v>Jan-2032</v>
      </c>
      <c r="B599" s="34" t="n">
        <f aca="false">SIP_Fund3_SBISmallcap!B89</f>
        <v>48214</v>
      </c>
      <c r="C599" s="35" t="n">
        <f aca="false">SIP_Fund3_SBISmallcap!C89</f>
        <v>10000</v>
      </c>
      <c r="D599" s="36" t="n">
        <f aca="false">SIP_Fund3_SBISmallcap!D89</f>
        <v>452.37656577375</v>
      </c>
      <c r="E599" s="37" t="n">
        <f aca="false">SIP_Fund3_SBISmallcap!E89</f>
        <v>22.1054775083141</v>
      </c>
      <c r="F599" s="33" t="n">
        <f aca="false">Assumptions!$C$5-B599</f>
        <v>1475</v>
      </c>
      <c r="G599" s="36" t="n">
        <f aca="false">Assumptions!$D$23*(1+Assumptions!$F$23)^((Assumptions!$C$5-Assumptions!$C$4)/365)</f>
        <v>795.766940037429</v>
      </c>
      <c r="H599" s="35" t="n">
        <f aca="false">E599*G599</f>
        <v>17590.8081948573</v>
      </c>
      <c r="I599" s="47" t="n">
        <f aca="false">IF(F599&lt;365,Assumptions!$G$23,IF(F599&lt;=730,Assumptions!$H$23,Assumptions!$I$23))</f>
        <v>0</v>
      </c>
      <c r="J599" s="35" t="n">
        <f aca="false">H599*I599</f>
        <v>0</v>
      </c>
      <c r="K599" s="35" t="n">
        <f aca="false">H599-J599</f>
        <v>17590.8081948573</v>
      </c>
      <c r="L599" s="35" t="n">
        <f aca="false">K599-C599</f>
        <v>7590.80819485734</v>
      </c>
      <c r="M599" s="33" t="str">
        <f aca="false">IF(F599&gt;365,"LTCG","STCG")</f>
        <v>LTCG</v>
      </c>
      <c r="N599" s="47" t="n">
        <f aca="false">IF(M599="LTCG",Assumptions!$C$12,Assumptions!$C$11)</f>
        <v>0.125</v>
      </c>
      <c r="O599" s="33" t="str">
        <f aca="false">IF(M599="STCG",MAX(L599,0)*Assumptions!$C$11,"agg. below")</f>
        <v>agg. below</v>
      </c>
    </row>
    <row r="600" customFormat="false" ht="15" hidden="false" customHeight="false" outlineLevel="1" collapsed="false">
      <c r="A600" s="38" t="str">
        <f aca="false">TEXT(SIP_Fund3_SBISmallcap!B90,"mmm-yyyy")</f>
        <v>Feb-2032</v>
      </c>
      <c r="B600" s="39" t="n">
        <f aca="false">SIP_Fund3_SBISmallcap!B90</f>
        <v>48245</v>
      </c>
      <c r="C600" s="40" t="n">
        <f aca="false">SIP_Fund3_SBISmallcap!C90</f>
        <v>10000</v>
      </c>
      <c r="D600" s="41" t="n">
        <f aca="false">SIP_Fund3_SBISmallcap!D90</f>
        <v>457.778359369384</v>
      </c>
      <c r="E600" s="42" t="n">
        <f aca="false">SIP_Fund3_SBISmallcap!E90</f>
        <v>21.8446324412879</v>
      </c>
      <c r="F600" s="38" t="n">
        <f aca="false">Assumptions!$C$5-B600</f>
        <v>1444</v>
      </c>
      <c r="G600" s="41" t="n">
        <f aca="false">Assumptions!$D$23*(1+Assumptions!$F$23)^((Assumptions!$C$5-Assumptions!$C$4)/365)</f>
        <v>795.766940037429</v>
      </c>
      <c r="H600" s="40" t="n">
        <f aca="false">E600*G600</f>
        <v>17383.236314046</v>
      </c>
      <c r="I600" s="48" t="n">
        <f aca="false">IF(F600&lt;365,Assumptions!$G$23,IF(F600&lt;=730,Assumptions!$H$23,Assumptions!$I$23))</f>
        <v>0</v>
      </c>
      <c r="J600" s="40" t="n">
        <f aca="false">H600*I600</f>
        <v>0</v>
      </c>
      <c r="K600" s="40" t="n">
        <f aca="false">H600-J600</f>
        <v>17383.236314046</v>
      </c>
      <c r="L600" s="40" t="n">
        <f aca="false">K600-C600</f>
        <v>7383.23631404605</v>
      </c>
      <c r="M600" s="38" t="str">
        <f aca="false">IF(F600&gt;365,"LTCG","STCG")</f>
        <v>LTCG</v>
      </c>
      <c r="N600" s="48" t="n">
        <f aca="false">IF(M600="LTCG",Assumptions!$C$12,Assumptions!$C$11)</f>
        <v>0.125</v>
      </c>
      <c r="O600" s="38" t="str">
        <f aca="false">IF(M600="STCG",MAX(L600,0)*Assumptions!$C$11,"agg. below")</f>
        <v>agg. below</v>
      </c>
    </row>
    <row r="601" customFormat="false" ht="15" hidden="false" customHeight="false" outlineLevel="1" collapsed="false">
      <c r="A601" s="33" t="str">
        <f aca="false">TEXT(SIP_Fund3_SBISmallcap!B91,"mmm-yyyy")</f>
        <v>Mar-2032</v>
      </c>
      <c r="B601" s="34" t="n">
        <f aca="false">SIP_Fund3_SBISmallcap!B91</f>
        <v>48274</v>
      </c>
      <c r="C601" s="35" t="n">
        <f aca="false">SIP_Fund3_SBISmallcap!C91</f>
        <v>10000</v>
      </c>
      <c r="D601" s="36" t="n">
        <f aca="false">SIP_Fund3_SBISmallcap!D91</f>
        <v>462.890029676595</v>
      </c>
      <c r="E601" s="37" t="n">
        <f aca="false">SIP_Fund3_SBISmallcap!E91</f>
        <v>21.6034033115525</v>
      </c>
      <c r="F601" s="33" t="n">
        <f aca="false">Assumptions!$C$5-B601</f>
        <v>1415</v>
      </c>
      <c r="G601" s="36" t="n">
        <f aca="false">Assumptions!$D$23*(1+Assumptions!$F$23)^((Assumptions!$C$5-Assumptions!$C$4)/365)</f>
        <v>795.766940037429</v>
      </c>
      <c r="H601" s="35" t="n">
        <f aca="false">E601*G601</f>
        <v>17191.2741476286</v>
      </c>
      <c r="I601" s="47" t="n">
        <f aca="false">IF(F601&lt;365,Assumptions!$G$23,IF(F601&lt;=730,Assumptions!$H$23,Assumptions!$I$23))</f>
        <v>0</v>
      </c>
      <c r="J601" s="35" t="n">
        <f aca="false">H601*I601</f>
        <v>0</v>
      </c>
      <c r="K601" s="35" t="n">
        <f aca="false">H601-J601</f>
        <v>17191.2741476286</v>
      </c>
      <c r="L601" s="35" t="n">
        <f aca="false">K601-C601</f>
        <v>7191.27414762862</v>
      </c>
      <c r="M601" s="33" t="str">
        <f aca="false">IF(F601&gt;365,"LTCG","STCG")</f>
        <v>LTCG</v>
      </c>
      <c r="N601" s="47" t="n">
        <f aca="false">IF(M601="LTCG",Assumptions!$C$12,Assumptions!$C$11)</f>
        <v>0.125</v>
      </c>
      <c r="O601" s="33" t="str">
        <f aca="false">IF(M601="STCG",MAX(L601,0)*Assumptions!$C$11,"agg. below")</f>
        <v>agg. below</v>
      </c>
    </row>
    <row r="602" customFormat="false" ht="15" hidden="false" customHeight="false" outlineLevel="1" collapsed="false">
      <c r="A602" s="38" t="str">
        <f aca="false">TEXT(SIP_Fund3_SBISmallcap!B92,"mmm-yyyy")</f>
        <v>Apr-2032</v>
      </c>
      <c r="B602" s="39" t="n">
        <f aca="false">SIP_Fund3_SBISmallcap!B92</f>
        <v>48305</v>
      </c>
      <c r="C602" s="40" t="n">
        <f aca="false">SIP_Fund3_SBISmallcap!C92</f>
        <v>10000</v>
      </c>
      <c r="D602" s="41" t="n">
        <f aca="false">SIP_Fund3_SBISmallcap!D92</f>
        <v>468.417363731827</v>
      </c>
      <c r="E602" s="42" t="n">
        <f aca="false">SIP_Fund3_SBISmallcap!E92</f>
        <v>21.3484827298697</v>
      </c>
      <c r="F602" s="38" t="n">
        <f aca="false">Assumptions!$C$5-B602</f>
        <v>1384</v>
      </c>
      <c r="G602" s="41" t="n">
        <f aca="false">Assumptions!$D$23*(1+Assumptions!$F$23)^((Assumptions!$C$5-Assumptions!$C$4)/365)</f>
        <v>795.766940037429</v>
      </c>
      <c r="H602" s="40" t="n">
        <f aca="false">E602*G602</f>
        <v>16988.4167763903</v>
      </c>
      <c r="I602" s="48" t="n">
        <f aca="false">IF(F602&lt;365,Assumptions!$G$23,IF(F602&lt;=730,Assumptions!$H$23,Assumptions!$I$23))</f>
        <v>0</v>
      </c>
      <c r="J602" s="40" t="n">
        <f aca="false">H602*I602</f>
        <v>0</v>
      </c>
      <c r="K602" s="40" t="n">
        <f aca="false">H602-J602</f>
        <v>16988.4167763903</v>
      </c>
      <c r="L602" s="40" t="n">
        <f aca="false">K602-C602</f>
        <v>6988.41677639032</v>
      </c>
      <c r="M602" s="38" t="str">
        <f aca="false">IF(F602&gt;365,"LTCG","STCG")</f>
        <v>LTCG</v>
      </c>
      <c r="N602" s="48" t="n">
        <f aca="false">IF(M602="LTCG",Assumptions!$C$12,Assumptions!$C$11)</f>
        <v>0.125</v>
      </c>
      <c r="O602" s="38" t="str">
        <f aca="false">IF(M602="STCG",MAX(L602,0)*Assumptions!$C$11,"agg. below")</f>
        <v>agg. below</v>
      </c>
    </row>
    <row r="603" customFormat="false" ht="15" hidden="false" customHeight="false" outlineLevel="1" collapsed="false">
      <c r="A603" s="33" t="str">
        <f aca="false">TEXT(SIP_Fund3_SBISmallcap!B93,"mmm-yyyy")</f>
        <v>May-2032</v>
      </c>
      <c r="B603" s="34" t="n">
        <f aca="false">SIP_Fund3_SBISmallcap!B93</f>
        <v>48335</v>
      </c>
      <c r="C603" s="35" t="n">
        <f aca="false">SIP_Fund3_SBISmallcap!C93</f>
        <v>10000</v>
      </c>
      <c r="D603" s="36" t="n">
        <f aca="false">SIP_Fund3_SBISmallcap!D93</f>
        <v>473.829230833641</v>
      </c>
      <c r="E603" s="37" t="n">
        <f aca="false">SIP_Fund3_SBISmallcap!E93</f>
        <v>21.1046498385216</v>
      </c>
      <c r="F603" s="33" t="n">
        <f aca="false">Assumptions!$C$5-B603</f>
        <v>1354</v>
      </c>
      <c r="G603" s="36" t="n">
        <f aca="false">Assumptions!$D$23*(1+Assumptions!$F$23)^((Assumptions!$C$5-Assumptions!$C$4)/365)</f>
        <v>795.766940037429</v>
      </c>
      <c r="H603" s="35" t="n">
        <f aca="false">E603*G603</f>
        <v>16794.3826225617</v>
      </c>
      <c r="I603" s="47" t="n">
        <f aca="false">IF(F603&lt;365,Assumptions!$G$23,IF(F603&lt;=730,Assumptions!$H$23,Assumptions!$I$23))</f>
        <v>0</v>
      </c>
      <c r="J603" s="35" t="n">
        <f aca="false">H603*I603</f>
        <v>0</v>
      </c>
      <c r="K603" s="35" t="n">
        <f aca="false">H603-J603</f>
        <v>16794.3826225617</v>
      </c>
      <c r="L603" s="35" t="n">
        <f aca="false">K603-C603</f>
        <v>6794.38262256173</v>
      </c>
      <c r="M603" s="33" t="str">
        <f aca="false">IF(F603&gt;365,"LTCG","STCG")</f>
        <v>LTCG</v>
      </c>
      <c r="N603" s="47" t="n">
        <f aca="false">IF(M603="LTCG",Assumptions!$C$12,Assumptions!$C$11)</f>
        <v>0.125</v>
      </c>
      <c r="O603" s="33" t="str">
        <f aca="false">IF(M603="STCG",MAX(L603,0)*Assumptions!$C$11,"agg. below")</f>
        <v>agg. below</v>
      </c>
    </row>
    <row r="604" customFormat="false" ht="15" hidden="false" customHeight="false" outlineLevel="1" collapsed="false">
      <c r="A604" s="38" t="str">
        <f aca="false">TEXT(SIP_Fund3_SBISmallcap!B94,"mmm-yyyy")</f>
        <v>Jun-2032</v>
      </c>
      <c r="B604" s="39" t="n">
        <f aca="false">SIP_Fund3_SBISmallcap!B94</f>
        <v>48366</v>
      </c>
      <c r="C604" s="40" t="n">
        <f aca="false">SIP_Fund3_SBISmallcap!C94</f>
        <v>10000</v>
      </c>
      <c r="D604" s="41" t="n">
        <f aca="false">SIP_Fund3_SBISmallcap!D94</f>
        <v>479.487189044106</v>
      </c>
      <c r="E604" s="42" t="n">
        <f aca="false">SIP_Fund3_SBISmallcap!E94</f>
        <v>20.8556145575771</v>
      </c>
      <c r="F604" s="38" t="n">
        <f aca="false">Assumptions!$C$5-B604</f>
        <v>1323</v>
      </c>
      <c r="G604" s="41" t="n">
        <f aca="false">Assumptions!$D$23*(1+Assumptions!$F$23)^((Assumptions!$C$5-Assumptions!$C$4)/365)</f>
        <v>795.766940037429</v>
      </c>
      <c r="H604" s="40" t="n">
        <f aca="false">E604*G604</f>
        <v>16596.2085790832</v>
      </c>
      <c r="I604" s="48" t="n">
        <f aca="false">IF(F604&lt;365,Assumptions!$G$23,IF(F604&lt;=730,Assumptions!$H$23,Assumptions!$I$23))</f>
        <v>0</v>
      </c>
      <c r="J604" s="40" t="n">
        <f aca="false">H604*I604</f>
        <v>0</v>
      </c>
      <c r="K604" s="40" t="n">
        <f aca="false">H604-J604</f>
        <v>16596.2085790832</v>
      </c>
      <c r="L604" s="40" t="n">
        <f aca="false">K604-C604</f>
        <v>6596.20857908323</v>
      </c>
      <c r="M604" s="38" t="str">
        <f aca="false">IF(F604&gt;365,"LTCG","STCG")</f>
        <v>LTCG</v>
      </c>
      <c r="N604" s="48" t="n">
        <f aca="false">IF(M604="LTCG",Assumptions!$C$12,Assumptions!$C$11)</f>
        <v>0.125</v>
      </c>
      <c r="O604" s="38" t="str">
        <f aca="false">IF(M604="STCG",MAX(L604,0)*Assumptions!$C$11,"agg. below")</f>
        <v>agg. below</v>
      </c>
    </row>
    <row r="605" customFormat="false" ht="15" hidden="false" customHeight="false" outlineLevel="1" collapsed="false">
      <c r="A605" s="33" t="str">
        <f aca="false">TEXT(SIP_Fund3_SBISmallcap!B95,"mmm-yyyy")</f>
        <v>Jul-2032</v>
      </c>
      <c r="B605" s="34" t="n">
        <f aca="false">SIP_Fund3_SBISmallcap!B95</f>
        <v>48396</v>
      </c>
      <c r="C605" s="35" t="n">
        <f aca="false">SIP_Fund3_SBISmallcap!C95</f>
        <v>10000</v>
      </c>
      <c r="D605" s="36" t="n">
        <f aca="false">SIP_Fund3_SBISmallcap!D95</f>
        <v>485.026951540218</v>
      </c>
      <c r="E605" s="37" t="n">
        <f aca="false">SIP_Fund3_SBISmallcap!E95</f>
        <v>20.6174109876672</v>
      </c>
      <c r="F605" s="33" t="n">
        <f aca="false">Assumptions!$C$5-B605</f>
        <v>1293</v>
      </c>
      <c r="G605" s="36" t="n">
        <f aca="false">Assumptions!$D$23*(1+Assumptions!$F$23)^((Assumptions!$C$5-Assumptions!$C$4)/365)</f>
        <v>795.766940037429</v>
      </c>
      <c r="H605" s="35" t="n">
        <f aca="false">E605*G605</f>
        <v>16406.65405315</v>
      </c>
      <c r="I605" s="47" t="n">
        <f aca="false">IF(F605&lt;365,Assumptions!$G$23,IF(F605&lt;=730,Assumptions!$H$23,Assumptions!$I$23))</f>
        <v>0</v>
      </c>
      <c r="J605" s="35" t="n">
        <f aca="false">H605*I605</f>
        <v>0</v>
      </c>
      <c r="K605" s="35" t="n">
        <f aca="false">H605-J605</f>
        <v>16406.65405315</v>
      </c>
      <c r="L605" s="35" t="n">
        <f aca="false">K605-C605</f>
        <v>6406.65405314998</v>
      </c>
      <c r="M605" s="33" t="str">
        <f aca="false">IF(F605&gt;365,"LTCG","STCG")</f>
        <v>LTCG</v>
      </c>
      <c r="N605" s="47" t="n">
        <f aca="false">IF(M605="LTCG",Assumptions!$C$12,Assumptions!$C$11)</f>
        <v>0.125</v>
      </c>
      <c r="O605" s="33" t="str">
        <f aca="false">IF(M605="STCG",MAX(L605,0)*Assumptions!$C$11,"agg. below")</f>
        <v>agg. below</v>
      </c>
    </row>
    <row r="606" customFormat="false" ht="15" hidden="false" customHeight="false" outlineLevel="1" collapsed="false">
      <c r="A606" s="38" t="str">
        <f aca="false">TEXT(SIP_Fund3_SBISmallcap!B96,"mmm-yyyy")</f>
        <v>Aug-2032</v>
      </c>
      <c r="B606" s="39" t="n">
        <f aca="false">SIP_Fund3_SBISmallcap!B96</f>
        <v>48427</v>
      </c>
      <c r="C606" s="40" t="n">
        <f aca="false">SIP_Fund3_SBISmallcap!C96</f>
        <v>10000</v>
      </c>
      <c r="D606" s="41" t="n">
        <f aca="false">SIP_Fund3_SBISmallcap!D96</f>
        <v>490.818620867869</v>
      </c>
      <c r="E606" s="42" t="n">
        <f aca="false">SIP_Fund3_SBISmallcap!E96</f>
        <v>20.3741251346942</v>
      </c>
      <c r="F606" s="38" t="n">
        <f aca="false">Assumptions!$C$5-B606</f>
        <v>1262</v>
      </c>
      <c r="G606" s="41" t="n">
        <f aca="false">Assumptions!$D$23*(1+Assumptions!$F$23)^((Assumptions!$C$5-Assumptions!$C$4)/365)</f>
        <v>795.766940037429</v>
      </c>
      <c r="H606" s="40" t="n">
        <f aca="false">E606*G606</f>
        <v>16213.0552143753</v>
      </c>
      <c r="I606" s="48" t="n">
        <f aca="false">IF(F606&lt;365,Assumptions!$G$23,IF(F606&lt;=730,Assumptions!$H$23,Assumptions!$I$23))</f>
        <v>0</v>
      </c>
      <c r="J606" s="40" t="n">
        <f aca="false">H606*I606</f>
        <v>0</v>
      </c>
      <c r="K606" s="40" t="n">
        <f aca="false">H606-J606</f>
        <v>16213.0552143753</v>
      </c>
      <c r="L606" s="40" t="n">
        <f aca="false">K606-C606</f>
        <v>6213.0552143753</v>
      </c>
      <c r="M606" s="38" t="str">
        <f aca="false">IF(F606&gt;365,"LTCG","STCG")</f>
        <v>LTCG</v>
      </c>
      <c r="N606" s="48" t="n">
        <f aca="false">IF(M606="LTCG",Assumptions!$C$12,Assumptions!$C$11)</f>
        <v>0.125</v>
      </c>
      <c r="O606" s="38" t="str">
        <f aca="false">IF(M606="STCG",MAX(L606,0)*Assumptions!$C$11,"agg. below")</f>
        <v>agg. below</v>
      </c>
    </row>
    <row r="607" customFormat="false" ht="15" hidden="false" customHeight="false" outlineLevel="1" collapsed="false">
      <c r="A607" s="33" t="str">
        <f aca="false">TEXT(SIP_Fund3_SBISmallcap!B97,"mmm-yyyy")</f>
        <v>Sep-2032</v>
      </c>
      <c r="B607" s="34" t="n">
        <f aca="false">SIP_Fund3_SBISmallcap!B97</f>
        <v>48458</v>
      </c>
      <c r="C607" s="35" t="n">
        <f aca="false">SIP_Fund3_SBISmallcap!C97</f>
        <v>10000</v>
      </c>
      <c r="D607" s="36" t="n">
        <f aca="false">SIP_Fund3_SBISmallcap!D97</f>
        <v>496.679448071169</v>
      </c>
      <c r="E607" s="37" t="n">
        <f aca="false">SIP_Fund3_SBISmallcap!E97</f>
        <v>20.1337100595455</v>
      </c>
      <c r="F607" s="33" t="n">
        <f aca="false">Assumptions!$C$5-B607</f>
        <v>1231</v>
      </c>
      <c r="G607" s="36" t="n">
        <f aca="false">Assumptions!$D$23*(1+Assumptions!$F$23)^((Assumptions!$C$5-Assumptions!$C$4)/365)</f>
        <v>795.766940037429</v>
      </c>
      <c r="H607" s="35" t="n">
        <f aca="false">E607*G607</f>
        <v>16021.7408456853</v>
      </c>
      <c r="I607" s="47" t="n">
        <f aca="false">IF(F607&lt;365,Assumptions!$G$23,IF(F607&lt;=730,Assumptions!$H$23,Assumptions!$I$23))</f>
        <v>0</v>
      </c>
      <c r="J607" s="35" t="n">
        <f aca="false">H607*I607</f>
        <v>0</v>
      </c>
      <c r="K607" s="35" t="n">
        <f aca="false">H607-J607</f>
        <v>16021.7408456853</v>
      </c>
      <c r="L607" s="35" t="n">
        <f aca="false">K607-C607</f>
        <v>6021.74084568534</v>
      </c>
      <c r="M607" s="33" t="str">
        <f aca="false">IF(F607&gt;365,"LTCG","STCG")</f>
        <v>LTCG</v>
      </c>
      <c r="N607" s="47" t="n">
        <f aca="false">IF(M607="LTCG",Assumptions!$C$12,Assumptions!$C$11)</f>
        <v>0.125</v>
      </c>
      <c r="O607" s="33" t="str">
        <f aca="false">IF(M607="STCG",MAX(L607,0)*Assumptions!$C$11,"agg. below")</f>
        <v>agg. below</v>
      </c>
    </row>
    <row r="608" customFormat="false" ht="15" hidden="false" customHeight="false" outlineLevel="1" collapsed="false">
      <c r="A608" s="38" t="str">
        <f aca="false">TEXT(SIP_Fund3_SBISmallcap!B98,"mmm-yyyy")</f>
        <v>Oct-2032</v>
      </c>
      <c r="B608" s="39" t="n">
        <f aca="false">SIP_Fund3_SBISmallcap!B98</f>
        <v>48488</v>
      </c>
      <c r="C608" s="40" t="n">
        <f aca="false">SIP_Fund3_SBISmallcap!C98</f>
        <v>10000</v>
      </c>
      <c r="D608" s="41" t="n">
        <f aca="false">SIP_Fund3_SBISmallcap!D98</f>
        <v>502.417841592171</v>
      </c>
      <c r="E608" s="42" t="n">
        <f aca="false">SIP_Fund3_SBISmallcap!E98</f>
        <v>19.9037517622977</v>
      </c>
      <c r="F608" s="38" t="n">
        <f aca="false">Assumptions!$C$5-B608</f>
        <v>1201</v>
      </c>
      <c r="G608" s="41" t="n">
        <f aca="false">Assumptions!$D$23*(1+Assumptions!$F$23)^((Assumptions!$C$5-Assumptions!$C$4)/365)</f>
        <v>795.766940037429</v>
      </c>
      <c r="H608" s="40" t="n">
        <f aca="false">E608*G608</f>
        <v>15838.7476351483</v>
      </c>
      <c r="I608" s="48" t="n">
        <f aca="false">IF(F608&lt;365,Assumptions!$G$23,IF(F608&lt;=730,Assumptions!$H$23,Assumptions!$I$23))</f>
        <v>0</v>
      </c>
      <c r="J608" s="40" t="n">
        <f aca="false">H608*I608</f>
        <v>0</v>
      </c>
      <c r="K608" s="40" t="n">
        <f aca="false">H608-J608</f>
        <v>15838.7476351483</v>
      </c>
      <c r="L608" s="40" t="n">
        <f aca="false">K608-C608</f>
        <v>5838.74763514827</v>
      </c>
      <c r="M608" s="38" t="str">
        <f aca="false">IF(F608&gt;365,"LTCG","STCG")</f>
        <v>LTCG</v>
      </c>
      <c r="N608" s="48" t="n">
        <f aca="false">IF(M608="LTCG",Assumptions!$C$12,Assumptions!$C$11)</f>
        <v>0.125</v>
      </c>
      <c r="O608" s="38" t="str">
        <f aca="false">IF(M608="STCG",MAX(L608,0)*Assumptions!$C$11,"agg. below")</f>
        <v>agg. below</v>
      </c>
    </row>
    <row r="609" customFormat="false" ht="15" hidden="false" customHeight="false" outlineLevel="1" collapsed="false">
      <c r="A609" s="33" t="str">
        <f aca="false">TEXT(SIP_Fund3_SBISmallcap!B99,"mmm-yyyy")</f>
        <v>Nov-2032</v>
      </c>
      <c r="B609" s="34" t="n">
        <f aca="false">SIP_Fund3_SBISmallcap!B99</f>
        <v>48519</v>
      </c>
      <c r="C609" s="35" t="n">
        <f aca="false">SIP_Fund3_SBISmallcap!C99</f>
        <v>10000</v>
      </c>
      <c r="D609" s="36" t="n">
        <f aca="false">SIP_Fund3_SBISmallcap!D99</f>
        <v>508.417174193326</v>
      </c>
      <c r="E609" s="37" t="n">
        <f aca="false">SIP_Fund3_SBISmallcap!E99</f>
        <v>19.6688871021448</v>
      </c>
      <c r="F609" s="33" t="n">
        <f aca="false">Assumptions!$C$5-B609</f>
        <v>1170</v>
      </c>
      <c r="G609" s="36" t="n">
        <f aca="false">Assumptions!$D$23*(1+Assumptions!$F$23)^((Assumptions!$C$5-Assumptions!$C$4)/365)</f>
        <v>795.766940037429</v>
      </c>
      <c r="H609" s="35" t="n">
        <f aca="false">E609*G609</f>
        <v>15651.8501032154</v>
      </c>
      <c r="I609" s="47" t="n">
        <f aca="false">IF(F609&lt;365,Assumptions!$G$23,IF(F609&lt;=730,Assumptions!$H$23,Assumptions!$I$23))</f>
        <v>0</v>
      </c>
      <c r="J609" s="35" t="n">
        <f aca="false">H609*I609</f>
        <v>0</v>
      </c>
      <c r="K609" s="35" t="n">
        <f aca="false">H609-J609</f>
        <v>15651.8501032154</v>
      </c>
      <c r="L609" s="35" t="n">
        <f aca="false">K609-C609</f>
        <v>5651.85010321541</v>
      </c>
      <c r="M609" s="33" t="str">
        <f aca="false">IF(F609&gt;365,"LTCG","STCG")</f>
        <v>LTCG</v>
      </c>
      <c r="N609" s="47" t="n">
        <f aca="false">IF(M609="LTCG",Assumptions!$C$12,Assumptions!$C$11)</f>
        <v>0.125</v>
      </c>
      <c r="O609" s="33" t="str">
        <f aca="false">IF(M609="STCG",MAX(L609,0)*Assumptions!$C$11,"agg. below")</f>
        <v>agg. below</v>
      </c>
    </row>
    <row r="610" customFormat="false" ht="15" hidden="false" customHeight="false" outlineLevel="1" collapsed="false">
      <c r="A610" s="38" t="str">
        <f aca="false">TEXT(SIP_Fund3_SBISmallcap!B100,"mmm-yyyy")</f>
        <v>Dec-2032</v>
      </c>
      <c r="B610" s="39" t="n">
        <f aca="false">SIP_Fund3_SBISmallcap!B100</f>
        <v>48549</v>
      </c>
      <c r="C610" s="40" t="n">
        <f aca="false">SIP_Fund3_SBISmallcap!C100</f>
        <v>10000</v>
      </c>
      <c r="D610" s="41" t="n">
        <f aca="false">SIP_Fund3_SBISmallcap!D100</f>
        <v>514.291179710742</v>
      </c>
      <c r="E610" s="42" t="n">
        <f aca="false">SIP_Fund3_SBISmallcap!E100</f>
        <v>19.4442378063423</v>
      </c>
      <c r="F610" s="38" t="n">
        <f aca="false">Assumptions!$C$5-B610</f>
        <v>1140</v>
      </c>
      <c r="G610" s="41" t="n">
        <f aca="false">Assumptions!$D$23*(1+Assumptions!$F$23)^((Assumptions!$C$5-Assumptions!$C$4)/365)</f>
        <v>795.766940037429</v>
      </c>
      <c r="H610" s="40" t="n">
        <f aca="false">E610*G610</f>
        <v>15473.0816205131</v>
      </c>
      <c r="I610" s="48" t="n">
        <f aca="false">IF(F610&lt;365,Assumptions!$G$23,IF(F610&lt;=730,Assumptions!$H$23,Assumptions!$I$23))</f>
        <v>0</v>
      </c>
      <c r="J610" s="40" t="n">
        <f aca="false">H610*I610</f>
        <v>0</v>
      </c>
      <c r="K610" s="40" t="n">
        <f aca="false">H610-J610</f>
        <v>15473.0816205131</v>
      </c>
      <c r="L610" s="40" t="n">
        <f aca="false">K610-C610</f>
        <v>5473.08162051313</v>
      </c>
      <c r="M610" s="38" t="str">
        <f aca="false">IF(F610&gt;365,"LTCG","STCG")</f>
        <v>LTCG</v>
      </c>
      <c r="N610" s="48" t="n">
        <f aca="false">IF(M610="LTCG",Assumptions!$C$12,Assumptions!$C$11)</f>
        <v>0.125</v>
      </c>
      <c r="O610" s="38" t="str">
        <f aca="false">IF(M610="STCG",MAX(L610,0)*Assumptions!$C$11,"agg. below")</f>
        <v>agg. below</v>
      </c>
    </row>
    <row r="611" customFormat="false" ht="15" hidden="false" customHeight="false" outlineLevel="1" collapsed="false">
      <c r="A611" s="33" t="str">
        <f aca="false">TEXT(SIP_Fund3_SBISmallcap!B101,"mmm-yyyy")</f>
        <v>Jan-2033</v>
      </c>
      <c r="B611" s="34" t="n">
        <f aca="false">SIP_Fund3_SBISmallcap!B101</f>
        <v>48580</v>
      </c>
      <c r="C611" s="35" t="n">
        <f aca="false">SIP_Fund3_SBISmallcap!C101</f>
        <v>11000</v>
      </c>
      <c r="D611" s="36" t="n">
        <f aca="false">SIP_Fund3_SBISmallcap!D101</f>
        <v>520.432290924363</v>
      </c>
      <c r="E611" s="37" t="n">
        <f aca="false">SIP_Fund3_SBISmallcap!E101</f>
        <v>21.1362749618445</v>
      </c>
      <c r="F611" s="33" t="n">
        <f aca="false">Assumptions!$C$5-B611</f>
        <v>1109</v>
      </c>
      <c r="G611" s="36" t="n">
        <f aca="false">Assumptions!$D$23*(1+Assumptions!$F$23)^((Assumptions!$C$5-Assumptions!$C$4)/365)</f>
        <v>795.766940037429</v>
      </c>
      <c r="H611" s="35" t="n">
        <f aca="false">E611*G611</f>
        <v>16819.5488501767</v>
      </c>
      <c r="I611" s="47" t="n">
        <f aca="false">IF(F611&lt;365,Assumptions!$G$23,IF(F611&lt;=730,Assumptions!$H$23,Assumptions!$I$23))</f>
        <v>0</v>
      </c>
      <c r="J611" s="35" t="n">
        <f aca="false">H611*I611</f>
        <v>0</v>
      </c>
      <c r="K611" s="35" t="n">
        <f aca="false">H611-J611</f>
        <v>16819.5488501767</v>
      </c>
      <c r="L611" s="35" t="n">
        <f aca="false">K611-C611</f>
        <v>5819.54885017675</v>
      </c>
      <c r="M611" s="33" t="str">
        <f aca="false">IF(F611&gt;365,"LTCG","STCG")</f>
        <v>LTCG</v>
      </c>
      <c r="N611" s="47" t="n">
        <f aca="false">IF(M611="LTCG",Assumptions!$C$12,Assumptions!$C$11)</f>
        <v>0.125</v>
      </c>
      <c r="O611" s="33" t="str">
        <f aca="false">IF(M611="STCG",MAX(L611,0)*Assumptions!$C$11,"agg. below")</f>
        <v>agg. below</v>
      </c>
    </row>
    <row r="612" customFormat="false" ht="15" hidden="false" customHeight="false" outlineLevel="1" collapsed="false">
      <c r="A612" s="38" t="str">
        <f aca="false">TEXT(SIP_Fund3_SBISmallcap!B102,"mmm-yyyy")</f>
        <v>Feb-2033</v>
      </c>
      <c r="B612" s="39" t="n">
        <f aca="false">SIP_Fund3_SBISmallcap!B102</f>
        <v>48611</v>
      </c>
      <c r="C612" s="40" t="n">
        <f aca="false">SIP_Fund3_SBISmallcap!C102</f>
        <v>11000</v>
      </c>
      <c r="D612" s="41" t="n">
        <f aca="false">SIP_Fund3_SBISmallcap!D102</f>
        <v>526.646732672176</v>
      </c>
      <c r="E612" s="42" t="n">
        <f aca="false">SIP_Fund3_SBISmallcap!E102</f>
        <v>20.8868665038262</v>
      </c>
      <c r="F612" s="38" t="n">
        <f aca="false">Assumptions!$C$5-B612</f>
        <v>1078</v>
      </c>
      <c r="G612" s="41" t="n">
        <f aca="false">Assumptions!$D$23*(1+Assumptions!$F$23)^((Assumptions!$C$5-Assumptions!$C$4)/365)</f>
        <v>795.766940037429</v>
      </c>
      <c r="H612" s="40" t="n">
        <f aca="false">E612*G612</f>
        <v>16621.0778447201</v>
      </c>
      <c r="I612" s="48" t="n">
        <f aca="false">IF(F612&lt;365,Assumptions!$G$23,IF(F612&lt;=730,Assumptions!$H$23,Assumptions!$I$23))</f>
        <v>0</v>
      </c>
      <c r="J612" s="40" t="n">
        <f aca="false">H612*I612</f>
        <v>0</v>
      </c>
      <c r="K612" s="40" t="n">
        <f aca="false">H612-J612</f>
        <v>16621.0778447201</v>
      </c>
      <c r="L612" s="40" t="n">
        <f aca="false">K612-C612</f>
        <v>5621.07784472009</v>
      </c>
      <c r="M612" s="38" t="str">
        <f aca="false">IF(F612&gt;365,"LTCG","STCG")</f>
        <v>LTCG</v>
      </c>
      <c r="N612" s="48" t="n">
        <f aca="false">IF(M612="LTCG",Assumptions!$C$12,Assumptions!$C$11)</f>
        <v>0.125</v>
      </c>
      <c r="O612" s="38" t="str">
        <f aca="false">IF(M612="STCG",MAX(L612,0)*Assumptions!$C$11,"agg. below")</f>
        <v>agg. below</v>
      </c>
    </row>
    <row r="613" customFormat="false" ht="15" hidden="false" customHeight="false" outlineLevel="1" collapsed="false">
      <c r="A613" s="33" t="str">
        <f aca="false">TEXT(SIP_Fund3_SBISmallcap!B103,"mmm-yyyy")</f>
        <v>Mar-2033</v>
      </c>
      <c r="B613" s="34" t="n">
        <f aca="false">SIP_Fund3_SBISmallcap!B103</f>
        <v>48639</v>
      </c>
      <c r="C613" s="35" t="n">
        <f aca="false">SIP_Fund3_SBISmallcap!C103</f>
        <v>11000</v>
      </c>
      <c r="D613" s="36" t="n">
        <f aca="false">SIP_Fund3_SBISmallcap!D103</f>
        <v>532.323534128084</v>
      </c>
      <c r="E613" s="37" t="n">
        <f aca="false">SIP_Fund3_SBISmallcap!E103</f>
        <v>20.6641249067024</v>
      </c>
      <c r="F613" s="33" t="n">
        <f aca="false">Assumptions!$C$5-B613</f>
        <v>1050</v>
      </c>
      <c r="G613" s="36" t="n">
        <f aca="false">Assumptions!$D$23*(1+Assumptions!$F$23)^((Assumptions!$C$5-Assumptions!$C$4)/365)</f>
        <v>795.766940037429</v>
      </c>
      <c r="H613" s="35" t="n">
        <f aca="false">E613*G613</f>
        <v>16443.8274455578</v>
      </c>
      <c r="I613" s="47" t="n">
        <f aca="false">IF(F613&lt;365,Assumptions!$G$23,IF(F613&lt;=730,Assumptions!$H$23,Assumptions!$I$23))</f>
        <v>0</v>
      </c>
      <c r="J613" s="35" t="n">
        <f aca="false">H613*I613</f>
        <v>0</v>
      </c>
      <c r="K613" s="35" t="n">
        <f aca="false">H613-J613</f>
        <v>16443.8274455578</v>
      </c>
      <c r="L613" s="35" t="n">
        <f aca="false">K613-C613</f>
        <v>5443.82744555781</v>
      </c>
      <c r="M613" s="33" t="str">
        <f aca="false">IF(F613&gt;365,"LTCG","STCG")</f>
        <v>LTCG</v>
      </c>
      <c r="N613" s="47" t="n">
        <f aca="false">IF(M613="LTCG",Assumptions!$C$12,Assumptions!$C$11)</f>
        <v>0.125</v>
      </c>
      <c r="O613" s="33" t="str">
        <f aca="false">IF(M613="STCG",MAX(L613,0)*Assumptions!$C$11,"agg. below")</f>
        <v>agg. below</v>
      </c>
    </row>
    <row r="614" customFormat="false" ht="15" hidden="false" customHeight="false" outlineLevel="1" collapsed="false">
      <c r="A614" s="38" t="str">
        <f aca="false">TEXT(SIP_Fund3_SBISmallcap!B104,"mmm-yyyy")</f>
        <v>Apr-2033</v>
      </c>
      <c r="B614" s="39" t="n">
        <f aca="false">SIP_Fund3_SBISmallcap!B104</f>
        <v>48670</v>
      </c>
      <c r="C614" s="40" t="n">
        <f aca="false">SIP_Fund3_SBISmallcap!C104</f>
        <v>11000</v>
      </c>
      <c r="D614" s="41" t="n">
        <f aca="false">SIP_Fund3_SBISmallcap!D104</f>
        <v>538.679968291601</v>
      </c>
      <c r="E614" s="42" t="n">
        <f aca="false">SIP_Fund3_SBISmallcap!E104</f>
        <v>20.420287828571</v>
      </c>
      <c r="F614" s="38" t="n">
        <f aca="false">Assumptions!$C$5-B614</f>
        <v>1019</v>
      </c>
      <c r="G614" s="41" t="n">
        <f aca="false">Assumptions!$D$23*(1+Assumptions!$F$23)^((Assumptions!$C$5-Assumptions!$C$4)/365)</f>
        <v>795.766940037429</v>
      </c>
      <c r="H614" s="40" t="n">
        <f aca="false">E614*G614</f>
        <v>16249.7899600255</v>
      </c>
      <c r="I614" s="48" t="n">
        <f aca="false">IF(F614&lt;365,Assumptions!$G$23,IF(F614&lt;=730,Assumptions!$H$23,Assumptions!$I$23))</f>
        <v>0</v>
      </c>
      <c r="J614" s="40" t="n">
        <f aca="false">H614*I614</f>
        <v>0</v>
      </c>
      <c r="K614" s="40" t="n">
        <f aca="false">H614-J614</f>
        <v>16249.7899600255</v>
      </c>
      <c r="L614" s="40" t="n">
        <f aca="false">K614-C614</f>
        <v>5249.78996002552</v>
      </c>
      <c r="M614" s="38" t="str">
        <f aca="false">IF(F614&gt;365,"LTCG","STCG")</f>
        <v>LTCG</v>
      </c>
      <c r="N614" s="48" t="n">
        <f aca="false">IF(M614="LTCG",Assumptions!$C$12,Assumptions!$C$11)</f>
        <v>0.125</v>
      </c>
      <c r="O614" s="38" t="str">
        <f aca="false">IF(M614="STCG",MAX(L614,0)*Assumptions!$C$11,"agg. below")</f>
        <v>agg. below</v>
      </c>
    </row>
    <row r="615" customFormat="false" ht="15" hidden="false" customHeight="false" outlineLevel="1" collapsed="false">
      <c r="A615" s="33" t="str">
        <f aca="false">TEXT(SIP_Fund3_SBISmallcap!B105,"mmm-yyyy")</f>
        <v>May-2033</v>
      </c>
      <c r="B615" s="34" t="n">
        <f aca="false">SIP_Fund3_SBISmallcap!B105</f>
        <v>48700</v>
      </c>
      <c r="C615" s="35" t="n">
        <f aca="false">SIP_Fund3_SBISmallcap!C105</f>
        <v>11000</v>
      </c>
      <c r="D615" s="36" t="n">
        <f aca="false">SIP_Fund3_SBISmallcap!D105</f>
        <v>544.903615458687</v>
      </c>
      <c r="E615" s="37" t="n">
        <f aca="false">SIP_Fund3_SBISmallcap!E105</f>
        <v>20.1870563672815</v>
      </c>
      <c r="F615" s="33" t="n">
        <f aca="false">Assumptions!$C$5-B615</f>
        <v>989</v>
      </c>
      <c r="G615" s="36" t="n">
        <f aca="false">Assumptions!$D$23*(1+Assumptions!$F$23)^((Assumptions!$C$5-Assumptions!$C$4)/365)</f>
        <v>795.766940037429</v>
      </c>
      <c r="H615" s="35" t="n">
        <f aca="false">E615*G615</f>
        <v>16064.1920737547</v>
      </c>
      <c r="I615" s="47" t="n">
        <f aca="false">IF(F615&lt;365,Assumptions!$G$23,IF(F615&lt;=730,Assumptions!$H$23,Assumptions!$I$23))</f>
        <v>0</v>
      </c>
      <c r="J615" s="35" t="n">
        <f aca="false">H615*I615</f>
        <v>0</v>
      </c>
      <c r="K615" s="35" t="n">
        <f aca="false">H615-J615</f>
        <v>16064.1920737547</v>
      </c>
      <c r="L615" s="35" t="n">
        <f aca="false">K615-C615</f>
        <v>5064.1920737547</v>
      </c>
      <c r="M615" s="33" t="str">
        <f aca="false">IF(F615&gt;365,"LTCG","STCG")</f>
        <v>LTCG</v>
      </c>
      <c r="N615" s="47" t="n">
        <f aca="false">IF(M615="LTCG",Assumptions!$C$12,Assumptions!$C$11)</f>
        <v>0.125</v>
      </c>
      <c r="O615" s="33" t="str">
        <f aca="false">IF(M615="STCG",MAX(L615,0)*Assumptions!$C$11,"agg. below")</f>
        <v>agg. below</v>
      </c>
    </row>
    <row r="616" customFormat="false" ht="15" hidden="false" customHeight="false" outlineLevel="1" collapsed="false">
      <c r="A616" s="38" t="str">
        <f aca="false">TEXT(SIP_Fund3_SBISmallcap!B106,"mmm-yyyy")</f>
        <v>Jun-2033</v>
      </c>
      <c r="B616" s="39" t="n">
        <f aca="false">SIP_Fund3_SBISmallcap!B106</f>
        <v>48731</v>
      </c>
      <c r="C616" s="40" t="n">
        <f aca="false">SIP_Fund3_SBISmallcap!C106</f>
        <v>11000</v>
      </c>
      <c r="D616" s="41" t="n">
        <f aca="false">SIP_Fund3_SBISmallcap!D106</f>
        <v>551.410267400722</v>
      </c>
      <c r="E616" s="42" t="n">
        <f aca="false">SIP_Fund3_SBISmallcap!E106</f>
        <v>19.9488487072477</v>
      </c>
      <c r="F616" s="38" t="n">
        <f aca="false">Assumptions!$C$5-B616</f>
        <v>958</v>
      </c>
      <c r="G616" s="41" t="n">
        <f aca="false">Assumptions!$D$23*(1+Assumptions!$F$23)^((Assumptions!$C$5-Assumptions!$C$4)/365)</f>
        <v>795.766940037429</v>
      </c>
      <c r="H616" s="40" t="n">
        <f aca="false">E616*G616</f>
        <v>15874.6342930361</v>
      </c>
      <c r="I616" s="48" t="n">
        <f aca="false">IF(F616&lt;365,Assumptions!$G$23,IF(F616&lt;=730,Assumptions!$H$23,Assumptions!$I$23))</f>
        <v>0</v>
      </c>
      <c r="J616" s="40" t="n">
        <f aca="false">H616*I616</f>
        <v>0</v>
      </c>
      <c r="K616" s="40" t="n">
        <f aca="false">H616-J616</f>
        <v>15874.6342930361</v>
      </c>
      <c r="L616" s="40" t="n">
        <f aca="false">K616-C616</f>
        <v>4874.63429303613</v>
      </c>
      <c r="M616" s="38" t="str">
        <f aca="false">IF(F616&gt;365,"LTCG","STCG")</f>
        <v>LTCG</v>
      </c>
      <c r="N616" s="48" t="n">
        <f aca="false">IF(M616="LTCG",Assumptions!$C$12,Assumptions!$C$11)</f>
        <v>0.125</v>
      </c>
      <c r="O616" s="38" t="str">
        <f aca="false">IF(M616="STCG",MAX(L616,0)*Assumptions!$C$11,"agg. below")</f>
        <v>agg. below</v>
      </c>
    </row>
    <row r="617" customFormat="false" ht="15" hidden="false" customHeight="false" outlineLevel="1" collapsed="false">
      <c r="A617" s="33" t="str">
        <f aca="false">TEXT(SIP_Fund3_SBISmallcap!B107,"mmm-yyyy")</f>
        <v>Jul-2033</v>
      </c>
      <c r="B617" s="34" t="n">
        <f aca="false">SIP_Fund3_SBISmallcap!B107</f>
        <v>48761</v>
      </c>
      <c r="C617" s="35" t="n">
        <f aca="false">SIP_Fund3_SBISmallcap!C107</f>
        <v>11000</v>
      </c>
      <c r="D617" s="36" t="n">
        <f aca="false">SIP_Fund3_SBISmallcap!D107</f>
        <v>557.78099427125</v>
      </c>
      <c r="E617" s="37" t="n">
        <f aca="false">SIP_Fund3_SBISmallcap!E107</f>
        <v>19.7210018142903</v>
      </c>
      <c r="F617" s="33" t="n">
        <f aca="false">Assumptions!$C$5-B617</f>
        <v>928</v>
      </c>
      <c r="G617" s="36" t="n">
        <f aca="false">Assumptions!$D$23*(1+Assumptions!$F$23)^((Assumptions!$C$5-Assumptions!$C$4)/365)</f>
        <v>795.766940037429</v>
      </c>
      <c r="H617" s="35" t="n">
        <f aca="false">E617*G617</f>
        <v>15693.3212682304</v>
      </c>
      <c r="I617" s="47" t="n">
        <f aca="false">IF(F617&lt;365,Assumptions!$G$23,IF(F617&lt;=730,Assumptions!$H$23,Assumptions!$I$23))</f>
        <v>0</v>
      </c>
      <c r="J617" s="35" t="n">
        <f aca="false">H617*I617</f>
        <v>0</v>
      </c>
      <c r="K617" s="35" t="n">
        <f aca="false">H617-J617</f>
        <v>15693.3212682304</v>
      </c>
      <c r="L617" s="35" t="n">
        <f aca="false">K617-C617</f>
        <v>4693.32126823042</v>
      </c>
      <c r="M617" s="33" t="str">
        <f aca="false">IF(F617&gt;365,"LTCG","STCG")</f>
        <v>LTCG</v>
      </c>
      <c r="N617" s="47" t="n">
        <f aca="false">IF(M617="LTCG",Assumptions!$C$12,Assumptions!$C$11)</f>
        <v>0.125</v>
      </c>
      <c r="O617" s="33" t="str">
        <f aca="false">IF(M617="STCG",MAX(L617,0)*Assumptions!$C$11,"agg. below")</f>
        <v>agg. below</v>
      </c>
    </row>
    <row r="618" customFormat="false" ht="15" hidden="false" customHeight="false" outlineLevel="1" collapsed="false">
      <c r="A618" s="38" t="str">
        <f aca="false">TEXT(SIP_Fund3_SBISmallcap!B108,"mmm-yyyy")</f>
        <v>Aug-2033</v>
      </c>
      <c r="B618" s="39" t="n">
        <f aca="false">SIP_Fund3_SBISmallcap!B108</f>
        <v>48792</v>
      </c>
      <c r="C618" s="40" t="n">
        <f aca="false">SIP_Fund3_SBISmallcap!C108</f>
        <v>11000</v>
      </c>
      <c r="D618" s="41" t="n">
        <f aca="false">SIP_Fund3_SBISmallcap!D108</f>
        <v>564.441413998049</v>
      </c>
      <c r="E618" s="42" t="n">
        <f aca="false">SIP_Fund3_SBISmallcap!E108</f>
        <v>19.4882936070988</v>
      </c>
      <c r="F618" s="38" t="n">
        <f aca="false">Assumptions!$C$5-B618</f>
        <v>897</v>
      </c>
      <c r="G618" s="41" t="n">
        <f aca="false">Assumptions!$D$23*(1+Assumptions!$F$23)^((Assumptions!$C$5-Assumptions!$C$4)/365)</f>
        <v>795.766940037429</v>
      </c>
      <c r="H618" s="40" t="n">
        <f aca="false">E618*G618</f>
        <v>15508.139770272</v>
      </c>
      <c r="I618" s="48" t="n">
        <f aca="false">IF(F618&lt;365,Assumptions!$G$23,IF(F618&lt;=730,Assumptions!$H$23,Assumptions!$I$23))</f>
        <v>0</v>
      </c>
      <c r="J618" s="40" t="n">
        <f aca="false">H618*I618</f>
        <v>0</v>
      </c>
      <c r="K618" s="40" t="n">
        <f aca="false">H618-J618</f>
        <v>15508.139770272</v>
      </c>
      <c r="L618" s="40" t="n">
        <f aca="false">K618-C618</f>
        <v>4508.13977027202</v>
      </c>
      <c r="M618" s="38" t="str">
        <f aca="false">IF(F618&gt;365,"LTCG","STCG")</f>
        <v>LTCG</v>
      </c>
      <c r="N618" s="48" t="n">
        <f aca="false">IF(M618="LTCG",Assumptions!$C$12,Assumptions!$C$11)</f>
        <v>0.125</v>
      </c>
      <c r="O618" s="38" t="str">
        <f aca="false">IF(M618="STCG",MAX(L618,0)*Assumptions!$C$11,"agg. below")</f>
        <v>agg. below</v>
      </c>
    </row>
    <row r="619" customFormat="false" ht="15" hidden="false" customHeight="false" outlineLevel="1" collapsed="false">
      <c r="A619" s="33" t="str">
        <f aca="false">TEXT(SIP_Fund3_SBISmallcap!B109,"mmm-yyyy")</f>
        <v>Sep-2033</v>
      </c>
      <c r="B619" s="34" t="n">
        <f aca="false">SIP_Fund3_SBISmallcap!B109</f>
        <v>48823</v>
      </c>
      <c r="C619" s="35" t="n">
        <f aca="false">SIP_Fund3_SBISmallcap!C109</f>
        <v>11000</v>
      </c>
      <c r="D619" s="36" t="n">
        <f aca="false">SIP_Fund3_SBISmallcap!D109</f>
        <v>571.181365281844</v>
      </c>
      <c r="E619" s="37" t="n">
        <f aca="false">SIP_Fund3_SBISmallcap!E109</f>
        <v>19.2583313613044</v>
      </c>
      <c r="F619" s="33" t="n">
        <f aca="false">Assumptions!$C$5-B619</f>
        <v>866</v>
      </c>
      <c r="G619" s="36" t="n">
        <f aca="false">Assumptions!$D$23*(1+Assumptions!$F$23)^((Assumptions!$C$5-Assumptions!$C$4)/365)</f>
        <v>795.766940037429</v>
      </c>
      <c r="H619" s="35" t="n">
        <f aca="false">E619*G619</f>
        <v>15325.1434176121</v>
      </c>
      <c r="I619" s="47" t="n">
        <f aca="false">IF(F619&lt;365,Assumptions!$G$23,IF(F619&lt;=730,Assumptions!$H$23,Assumptions!$I$23))</f>
        <v>0</v>
      </c>
      <c r="J619" s="35" t="n">
        <f aca="false">H619*I619</f>
        <v>0</v>
      </c>
      <c r="K619" s="35" t="n">
        <f aca="false">H619-J619</f>
        <v>15325.1434176121</v>
      </c>
      <c r="L619" s="35" t="n">
        <f aca="false">K619-C619</f>
        <v>4325.14341761207</v>
      </c>
      <c r="M619" s="33" t="str">
        <f aca="false">IF(F619&gt;365,"LTCG","STCG")</f>
        <v>LTCG</v>
      </c>
      <c r="N619" s="47" t="n">
        <f aca="false">IF(M619="LTCG",Assumptions!$C$12,Assumptions!$C$11)</f>
        <v>0.125</v>
      </c>
      <c r="O619" s="33" t="str">
        <f aca="false">IF(M619="STCG",MAX(L619,0)*Assumptions!$C$11,"agg. below")</f>
        <v>agg. below</v>
      </c>
    </row>
    <row r="620" customFormat="false" ht="15" hidden="false" customHeight="false" outlineLevel="1" collapsed="false">
      <c r="A620" s="38" t="str">
        <f aca="false">TEXT(SIP_Fund3_SBISmallcap!B110,"mmm-yyyy")</f>
        <v>Oct-2033</v>
      </c>
      <c r="B620" s="39" t="n">
        <f aca="false">SIP_Fund3_SBISmallcap!B110</f>
        <v>48853</v>
      </c>
      <c r="C620" s="40" t="n">
        <f aca="false">SIP_Fund3_SBISmallcap!C110</f>
        <v>11000</v>
      </c>
      <c r="D620" s="41" t="n">
        <f aca="false">SIP_Fund3_SBISmallcap!D110</f>
        <v>577.780517830996</v>
      </c>
      <c r="E620" s="42" t="n">
        <f aca="false">SIP_Fund3_SBISmallcap!E110</f>
        <v>19.0383712508935</v>
      </c>
      <c r="F620" s="38" t="n">
        <f aca="false">Assumptions!$C$5-B620</f>
        <v>836</v>
      </c>
      <c r="G620" s="41" t="n">
        <f aca="false">Assumptions!$D$23*(1+Assumptions!$F$23)^((Assumptions!$C$5-Assumptions!$C$4)/365)</f>
        <v>795.766940037429</v>
      </c>
      <c r="H620" s="40" t="n">
        <f aca="false">E620*G620</f>
        <v>15150.1064336201</v>
      </c>
      <c r="I620" s="48" t="n">
        <f aca="false">IF(F620&lt;365,Assumptions!$G$23,IF(F620&lt;=730,Assumptions!$H$23,Assumptions!$I$23))</f>
        <v>0</v>
      </c>
      <c r="J620" s="40" t="n">
        <f aca="false">H620*I620</f>
        <v>0</v>
      </c>
      <c r="K620" s="40" t="n">
        <f aca="false">H620-J620</f>
        <v>15150.1064336201</v>
      </c>
      <c r="L620" s="40" t="n">
        <f aca="false">K620-C620</f>
        <v>4150.10643362009</v>
      </c>
      <c r="M620" s="38" t="str">
        <f aca="false">IF(F620&gt;365,"LTCG","STCG")</f>
        <v>LTCG</v>
      </c>
      <c r="N620" s="48" t="n">
        <f aca="false">IF(M620="LTCG",Assumptions!$C$12,Assumptions!$C$11)</f>
        <v>0.125</v>
      </c>
      <c r="O620" s="38" t="str">
        <f aca="false">IF(M620="STCG",MAX(L620,0)*Assumptions!$C$11,"agg. below")</f>
        <v>agg. below</v>
      </c>
    </row>
    <row r="621" customFormat="false" ht="15" hidden="false" customHeight="false" outlineLevel="1" collapsed="false">
      <c r="A621" s="33" t="str">
        <f aca="false">TEXT(SIP_Fund3_SBISmallcap!B111,"mmm-yyyy")</f>
        <v>Nov-2033</v>
      </c>
      <c r="B621" s="34" t="n">
        <f aca="false">SIP_Fund3_SBISmallcap!B111</f>
        <v>48884</v>
      </c>
      <c r="C621" s="35" t="n">
        <f aca="false">SIP_Fund3_SBISmallcap!C111</f>
        <v>11000</v>
      </c>
      <c r="D621" s="36" t="n">
        <f aca="false">SIP_Fund3_SBISmallcap!D111</f>
        <v>584.679750322325</v>
      </c>
      <c r="E621" s="37" t="n">
        <f aca="false">SIP_Fund3_SBISmallcap!E111</f>
        <v>18.8137180977037</v>
      </c>
      <c r="F621" s="33" t="n">
        <f aca="false">Assumptions!$C$5-B621</f>
        <v>805</v>
      </c>
      <c r="G621" s="36" t="n">
        <f aca="false">Assumptions!$D$23*(1+Assumptions!$F$23)^((Assumptions!$C$5-Assumptions!$C$4)/365)</f>
        <v>795.766940037429</v>
      </c>
      <c r="H621" s="35" t="n">
        <f aca="false">E621*G621</f>
        <v>14971.3348813365</v>
      </c>
      <c r="I621" s="47" t="n">
        <f aca="false">IF(F621&lt;365,Assumptions!$G$23,IF(F621&lt;=730,Assumptions!$H$23,Assumptions!$I$23))</f>
        <v>0</v>
      </c>
      <c r="J621" s="35" t="n">
        <f aca="false">H621*I621</f>
        <v>0</v>
      </c>
      <c r="K621" s="35" t="n">
        <f aca="false">H621-J621</f>
        <v>14971.3348813365</v>
      </c>
      <c r="L621" s="35" t="n">
        <f aca="false">K621-C621</f>
        <v>3971.33488133648</v>
      </c>
      <c r="M621" s="33" t="str">
        <f aca="false">IF(F621&gt;365,"LTCG","STCG")</f>
        <v>LTCG</v>
      </c>
      <c r="N621" s="47" t="n">
        <f aca="false">IF(M621="LTCG",Assumptions!$C$12,Assumptions!$C$11)</f>
        <v>0.125</v>
      </c>
      <c r="O621" s="33" t="str">
        <f aca="false">IF(M621="STCG",MAX(L621,0)*Assumptions!$C$11,"agg. below")</f>
        <v>agg. below</v>
      </c>
    </row>
    <row r="622" customFormat="false" ht="15" hidden="false" customHeight="false" outlineLevel="1" collapsed="false">
      <c r="A622" s="38" t="str">
        <f aca="false">TEXT(SIP_Fund3_SBISmallcap!B112,"mmm-yyyy")</f>
        <v>Dec-2033</v>
      </c>
      <c r="B622" s="39" t="n">
        <f aca="false">SIP_Fund3_SBISmallcap!B112</f>
        <v>48914</v>
      </c>
      <c r="C622" s="40" t="n">
        <f aca="false">SIP_Fund3_SBISmallcap!C112</f>
        <v>11000</v>
      </c>
      <c r="D622" s="41" t="n">
        <f aca="false">SIP_Fund3_SBISmallcap!D112</f>
        <v>591.434856667353</v>
      </c>
      <c r="E622" s="42" t="n">
        <f aca="false">SIP_Fund3_SBISmallcap!E112</f>
        <v>18.5988361625883</v>
      </c>
      <c r="F622" s="38" t="n">
        <f aca="false">Assumptions!$C$5-B622</f>
        <v>775</v>
      </c>
      <c r="G622" s="41" t="n">
        <f aca="false">Assumptions!$D$23*(1+Assumptions!$F$23)^((Assumptions!$C$5-Assumptions!$C$4)/365)</f>
        <v>795.766940037429</v>
      </c>
      <c r="H622" s="40" t="n">
        <f aca="false">E622*G622</f>
        <v>14800.3389413604</v>
      </c>
      <c r="I622" s="48" t="n">
        <f aca="false">IF(F622&lt;365,Assumptions!$G$23,IF(F622&lt;=730,Assumptions!$H$23,Assumptions!$I$23))</f>
        <v>0</v>
      </c>
      <c r="J622" s="40" t="n">
        <f aca="false">H622*I622</f>
        <v>0</v>
      </c>
      <c r="K622" s="40" t="n">
        <f aca="false">H622-J622</f>
        <v>14800.3389413604</v>
      </c>
      <c r="L622" s="40" t="n">
        <f aca="false">K622-C622</f>
        <v>3800.33894136039</v>
      </c>
      <c r="M622" s="38" t="str">
        <f aca="false">IF(F622&gt;365,"LTCG","STCG")</f>
        <v>LTCG</v>
      </c>
      <c r="N622" s="48" t="n">
        <f aca="false">IF(M622="LTCG",Assumptions!$C$12,Assumptions!$C$11)</f>
        <v>0.125</v>
      </c>
      <c r="O622" s="38" t="str">
        <f aca="false">IF(M622="STCG",MAX(L622,0)*Assumptions!$C$11,"agg. below")</f>
        <v>agg. below</v>
      </c>
    </row>
    <row r="623" customFormat="false" ht="15" hidden="false" customHeight="false" outlineLevel="1" collapsed="false">
      <c r="A623" s="33" t="str">
        <f aca="false">TEXT(SIP_Fund3_SBISmallcap!B113,"mmm-yyyy")</f>
        <v>Jan-2034</v>
      </c>
      <c r="B623" s="34" t="n">
        <f aca="false">SIP_Fund3_SBISmallcap!B113</f>
        <v>48945</v>
      </c>
      <c r="C623" s="35" t="n">
        <f aca="false">SIP_Fund3_SBISmallcap!C113</f>
        <v>12000</v>
      </c>
      <c r="D623" s="36" t="n">
        <f aca="false">SIP_Fund3_SBISmallcap!D113</f>
        <v>598.497134563018</v>
      </c>
      <c r="E623" s="37" t="n">
        <f aca="false">SIP_Fund3_SBISmallcap!E113</f>
        <v>20.0502213076786</v>
      </c>
      <c r="F623" s="33" t="n">
        <f aca="false">Assumptions!$C$5-B623</f>
        <v>744</v>
      </c>
      <c r="G623" s="36" t="n">
        <f aca="false">Assumptions!$D$23*(1+Assumptions!$F$23)^((Assumptions!$C$5-Assumptions!$C$4)/365)</f>
        <v>795.766940037429</v>
      </c>
      <c r="H623" s="35" t="n">
        <f aca="false">E623*G623</f>
        <v>15955.3032570847</v>
      </c>
      <c r="I623" s="47" t="n">
        <f aca="false">IF(F623&lt;365,Assumptions!$G$23,IF(F623&lt;=730,Assumptions!$H$23,Assumptions!$I$23))</f>
        <v>0</v>
      </c>
      <c r="J623" s="35" t="n">
        <f aca="false">H623*I623</f>
        <v>0</v>
      </c>
      <c r="K623" s="35" t="n">
        <f aca="false">H623-J623</f>
        <v>15955.3032570847</v>
      </c>
      <c r="L623" s="35" t="n">
        <f aca="false">K623-C623</f>
        <v>3955.30325708466</v>
      </c>
      <c r="M623" s="33" t="str">
        <f aca="false">IF(F623&gt;365,"LTCG","STCG")</f>
        <v>LTCG</v>
      </c>
      <c r="N623" s="47" t="n">
        <f aca="false">IF(M623="LTCG",Assumptions!$C$12,Assumptions!$C$11)</f>
        <v>0.125</v>
      </c>
      <c r="O623" s="33" t="str">
        <f aca="false">IF(M623="STCG",MAX(L623,0)*Assumptions!$C$11,"agg. below")</f>
        <v>agg. below</v>
      </c>
    </row>
    <row r="624" customFormat="false" ht="15" hidden="false" customHeight="false" outlineLevel="1" collapsed="false">
      <c r="A624" s="38" t="str">
        <f aca="false">TEXT(SIP_Fund3_SBISmallcap!B114,"mmm-yyyy")</f>
        <v>Feb-2034</v>
      </c>
      <c r="B624" s="39" t="n">
        <f aca="false">SIP_Fund3_SBISmallcap!B114</f>
        <v>48976</v>
      </c>
      <c r="C624" s="40" t="n">
        <f aca="false">SIP_Fund3_SBISmallcap!C114</f>
        <v>12000</v>
      </c>
      <c r="D624" s="41" t="n">
        <f aca="false">SIP_Fund3_SBISmallcap!D114</f>
        <v>605.643742573002</v>
      </c>
      <c r="E624" s="42" t="n">
        <f aca="false">SIP_Fund3_SBISmallcap!E114</f>
        <v>19.8136283040249</v>
      </c>
      <c r="F624" s="38" t="n">
        <f aca="false">Assumptions!$C$5-B624</f>
        <v>713</v>
      </c>
      <c r="G624" s="41" t="n">
        <f aca="false">Assumptions!$D$23*(1+Assumptions!$F$23)^((Assumptions!$C$5-Assumptions!$C$4)/365)</f>
        <v>795.766940037429</v>
      </c>
      <c r="H624" s="40" t="n">
        <f aca="false">E624*G624</f>
        <v>15767.0303665329</v>
      </c>
      <c r="I624" s="48" t="n">
        <f aca="false">IF(F624&lt;365,Assumptions!$G$23,IF(F624&lt;=730,Assumptions!$H$23,Assumptions!$I$23))</f>
        <v>0</v>
      </c>
      <c r="J624" s="40" t="n">
        <f aca="false">H624*I624</f>
        <v>0</v>
      </c>
      <c r="K624" s="40" t="n">
        <f aca="false">H624-J624</f>
        <v>15767.0303665329</v>
      </c>
      <c r="L624" s="40" t="n">
        <f aca="false">K624-C624</f>
        <v>3767.03036653289</v>
      </c>
      <c r="M624" s="38" t="str">
        <f aca="false">IF(F624&gt;365,"LTCG","STCG")</f>
        <v>LTCG</v>
      </c>
      <c r="N624" s="48" t="n">
        <f aca="false">IF(M624="LTCG",Assumptions!$C$12,Assumptions!$C$11)</f>
        <v>0.125</v>
      </c>
      <c r="O624" s="38" t="str">
        <f aca="false">IF(M624="STCG",MAX(L624,0)*Assumptions!$C$11,"agg. below")</f>
        <v>agg. below</v>
      </c>
    </row>
    <row r="625" customFormat="false" ht="15" hidden="false" customHeight="false" outlineLevel="1" collapsed="false">
      <c r="A625" s="33" t="str">
        <f aca="false">TEXT(SIP_Fund3_SBISmallcap!B115,"mmm-yyyy")</f>
        <v>Mar-2034</v>
      </c>
      <c r="B625" s="34" t="n">
        <f aca="false">SIP_Fund3_SBISmallcap!B115</f>
        <v>49004</v>
      </c>
      <c r="C625" s="35" t="n">
        <f aca="false">SIP_Fund3_SBISmallcap!C115</f>
        <v>12000</v>
      </c>
      <c r="D625" s="36" t="n">
        <f aca="false">SIP_Fund3_SBISmallcap!D115</f>
        <v>612.172064247297</v>
      </c>
      <c r="E625" s="37" t="n">
        <f aca="false">SIP_Fund3_SBISmallcap!E115</f>
        <v>19.6023319273066</v>
      </c>
      <c r="F625" s="33" t="n">
        <f aca="false">Assumptions!$C$5-B625</f>
        <v>685</v>
      </c>
      <c r="G625" s="36" t="n">
        <f aca="false">Assumptions!$D$23*(1+Assumptions!$F$23)^((Assumptions!$C$5-Assumptions!$C$4)/365)</f>
        <v>795.766940037429</v>
      </c>
      <c r="H625" s="35" t="n">
        <f aca="false">E625*G625</f>
        <v>15598.8876953908</v>
      </c>
      <c r="I625" s="47" t="n">
        <f aca="false">IF(F625&lt;365,Assumptions!$G$23,IF(F625&lt;=730,Assumptions!$H$23,Assumptions!$I$23))</f>
        <v>0</v>
      </c>
      <c r="J625" s="35" t="n">
        <f aca="false">H625*I625</f>
        <v>0</v>
      </c>
      <c r="K625" s="35" t="n">
        <f aca="false">H625-J625</f>
        <v>15598.8876953908</v>
      </c>
      <c r="L625" s="35" t="n">
        <f aca="false">K625-C625</f>
        <v>3598.88769539081</v>
      </c>
      <c r="M625" s="33" t="str">
        <f aca="false">IF(F625&gt;365,"LTCG","STCG")</f>
        <v>LTCG</v>
      </c>
      <c r="N625" s="47" t="n">
        <f aca="false">IF(M625="LTCG",Assumptions!$C$12,Assumptions!$C$11)</f>
        <v>0.125</v>
      </c>
      <c r="O625" s="33" t="str">
        <f aca="false">IF(M625="STCG",MAX(L625,0)*Assumptions!$C$11,"agg. below")</f>
        <v>agg. below</v>
      </c>
    </row>
    <row r="626" customFormat="false" ht="15" hidden="false" customHeight="false" outlineLevel="1" collapsed="false">
      <c r="A626" s="38" t="str">
        <f aca="false">TEXT(SIP_Fund3_SBISmallcap!B116,"mmm-yyyy")</f>
        <v>Apr-2034</v>
      </c>
      <c r="B626" s="39" t="n">
        <f aca="false">SIP_Fund3_SBISmallcap!B116</f>
        <v>49035</v>
      </c>
      <c r="C626" s="40" t="n">
        <f aca="false">SIP_Fund3_SBISmallcap!C116</f>
        <v>12000</v>
      </c>
      <c r="D626" s="41" t="n">
        <f aca="false">SIP_Fund3_SBISmallcap!D116</f>
        <v>619.481963535341</v>
      </c>
      <c r="E626" s="42" t="n">
        <f aca="false">SIP_Fund3_SBISmallcap!E116</f>
        <v>19.3710240271029</v>
      </c>
      <c r="F626" s="38" t="n">
        <f aca="false">Assumptions!$C$5-B626</f>
        <v>654</v>
      </c>
      <c r="G626" s="41" t="n">
        <f aca="false">Assumptions!$D$23*(1+Assumptions!$F$23)^((Assumptions!$C$5-Assumptions!$C$4)/365)</f>
        <v>795.766940037429</v>
      </c>
      <c r="H626" s="40" t="n">
        <f aca="false">E626*G626</f>
        <v>15414.8205154392</v>
      </c>
      <c r="I626" s="48" t="n">
        <f aca="false">IF(F626&lt;365,Assumptions!$G$23,IF(F626&lt;=730,Assumptions!$H$23,Assumptions!$I$23))</f>
        <v>0</v>
      </c>
      <c r="J626" s="40" t="n">
        <f aca="false">H626*I626</f>
        <v>0</v>
      </c>
      <c r="K626" s="40" t="n">
        <f aca="false">H626-J626</f>
        <v>15414.8205154392</v>
      </c>
      <c r="L626" s="40" t="n">
        <f aca="false">K626-C626</f>
        <v>3414.82051543923</v>
      </c>
      <c r="M626" s="38" t="str">
        <f aca="false">IF(F626&gt;365,"LTCG","STCG")</f>
        <v>LTCG</v>
      </c>
      <c r="N626" s="48" t="n">
        <f aca="false">IF(M626="LTCG",Assumptions!$C$12,Assumptions!$C$11)</f>
        <v>0.125</v>
      </c>
      <c r="O626" s="38" t="str">
        <f aca="false">IF(M626="STCG",MAX(L626,0)*Assumptions!$C$11,"agg. below")</f>
        <v>agg. below</v>
      </c>
    </row>
    <row r="627" customFormat="false" ht="15" hidden="false" customHeight="false" outlineLevel="1" collapsed="false">
      <c r="A627" s="33" t="str">
        <f aca="false">TEXT(SIP_Fund3_SBISmallcap!B117,"mmm-yyyy")</f>
        <v>May-2034</v>
      </c>
      <c r="B627" s="34" t="n">
        <f aca="false">SIP_Fund3_SBISmallcap!B117</f>
        <v>49065</v>
      </c>
      <c r="C627" s="35" t="n">
        <f aca="false">SIP_Fund3_SBISmallcap!C117</f>
        <v>12000</v>
      </c>
      <c r="D627" s="36" t="n">
        <f aca="false">SIP_Fund3_SBISmallcap!D117</f>
        <v>626.63915777749</v>
      </c>
      <c r="E627" s="37" t="n">
        <f aca="false">SIP_Fund3_SBISmallcap!E117</f>
        <v>19.1497767910971</v>
      </c>
      <c r="F627" s="33" t="n">
        <f aca="false">Assumptions!$C$5-B627</f>
        <v>624</v>
      </c>
      <c r="G627" s="36" t="n">
        <f aca="false">Assumptions!$D$23*(1+Assumptions!$F$23)^((Assumptions!$C$5-Assumptions!$C$4)/365)</f>
        <v>795.766940037429</v>
      </c>
      <c r="H627" s="35" t="n">
        <f aca="false">E627*G627</f>
        <v>15238.7592794511</v>
      </c>
      <c r="I627" s="47" t="n">
        <f aca="false">IF(F627&lt;365,Assumptions!$G$23,IF(F627&lt;=730,Assumptions!$H$23,Assumptions!$I$23))</f>
        <v>0</v>
      </c>
      <c r="J627" s="35" t="n">
        <f aca="false">H627*I627</f>
        <v>0</v>
      </c>
      <c r="K627" s="35" t="n">
        <f aca="false">H627-J627</f>
        <v>15238.7592794511</v>
      </c>
      <c r="L627" s="35" t="n">
        <f aca="false">K627-C627</f>
        <v>3238.7592794511</v>
      </c>
      <c r="M627" s="33" t="str">
        <f aca="false">IF(F627&gt;365,"LTCG","STCG")</f>
        <v>LTCG</v>
      </c>
      <c r="N627" s="47" t="n">
        <f aca="false">IF(M627="LTCG",Assumptions!$C$12,Assumptions!$C$11)</f>
        <v>0.125</v>
      </c>
      <c r="O627" s="33" t="str">
        <f aca="false">IF(M627="STCG",MAX(L627,0)*Assumptions!$C$11,"agg. below")</f>
        <v>agg. below</v>
      </c>
    </row>
    <row r="628" customFormat="false" ht="15" hidden="false" customHeight="false" outlineLevel="1" collapsed="false">
      <c r="A628" s="38" t="str">
        <f aca="false">TEXT(SIP_Fund3_SBISmallcap!B118,"mmm-yyyy")</f>
        <v>Jun-2034</v>
      </c>
      <c r="B628" s="39" t="n">
        <f aca="false">SIP_Fund3_SBISmallcap!B118</f>
        <v>49096</v>
      </c>
      <c r="C628" s="40" t="n">
        <f aca="false">SIP_Fund3_SBISmallcap!C118</f>
        <v>12000</v>
      </c>
      <c r="D628" s="41" t="n">
        <f aca="false">SIP_Fund3_SBISmallcap!D118</f>
        <v>634.12180751083</v>
      </c>
      <c r="E628" s="42" t="n">
        <f aca="false">SIP_Fund3_SBISmallcap!E118</f>
        <v>18.9238090503536</v>
      </c>
      <c r="F628" s="38" t="n">
        <f aca="false">Assumptions!$C$5-B628</f>
        <v>593</v>
      </c>
      <c r="G628" s="41" t="n">
        <f aca="false">Assumptions!$D$23*(1+Assumptions!$F$23)^((Assumptions!$C$5-Assumptions!$C$4)/365)</f>
        <v>795.766940037429</v>
      </c>
      <c r="H628" s="40" t="n">
        <f aca="false">E628*G628</f>
        <v>15058.9416218525</v>
      </c>
      <c r="I628" s="48" t="n">
        <f aca="false">IF(F628&lt;365,Assumptions!$G$23,IF(F628&lt;=730,Assumptions!$H$23,Assumptions!$I$23))</f>
        <v>0</v>
      </c>
      <c r="J628" s="40" t="n">
        <f aca="false">H628*I628</f>
        <v>0</v>
      </c>
      <c r="K628" s="40" t="n">
        <f aca="false">H628-J628</f>
        <v>15058.9416218525</v>
      </c>
      <c r="L628" s="40" t="n">
        <f aca="false">K628-C628</f>
        <v>3058.94162185246</v>
      </c>
      <c r="M628" s="38" t="str">
        <f aca="false">IF(F628&gt;365,"LTCG","STCG")</f>
        <v>LTCG</v>
      </c>
      <c r="N628" s="48" t="n">
        <f aca="false">IF(M628="LTCG",Assumptions!$C$12,Assumptions!$C$11)</f>
        <v>0.125</v>
      </c>
      <c r="O628" s="38" t="str">
        <f aca="false">IF(M628="STCG",MAX(L628,0)*Assumptions!$C$11,"agg. below")</f>
        <v>agg. below</v>
      </c>
    </row>
    <row r="629" customFormat="false" ht="15" hidden="false" customHeight="false" outlineLevel="1" collapsed="false">
      <c r="A629" s="33" t="str">
        <f aca="false">TEXT(SIP_Fund3_SBISmallcap!B119,"mmm-yyyy")</f>
        <v>Jul-2034</v>
      </c>
      <c r="B629" s="34" t="n">
        <f aca="false">SIP_Fund3_SBISmallcap!B119</f>
        <v>49126</v>
      </c>
      <c r="C629" s="35" t="n">
        <f aca="false">SIP_Fund3_SBISmallcap!C119</f>
        <v>12000</v>
      </c>
      <c r="D629" s="36" t="n">
        <f aca="false">SIP_Fund3_SBISmallcap!D119</f>
        <v>641.448143411938</v>
      </c>
      <c r="E629" s="37" t="n">
        <f aca="false">SIP_Fund3_SBISmallcap!E119</f>
        <v>18.7076697052557</v>
      </c>
      <c r="F629" s="33" t="n">
        <f aca="false">Assumptions!$C$5-B629</f>
        <v>563</v>
      </c>
      <c r="G629" s="36" t="n">
        <f aca="false">Assumptions!$D$23*(1+Assumptions!$F$23)^((Assumptions!$C$5-Assumptions!$C$4)/365)</f>
        <v>795.766940037429</v>
      </c>
      <c r="H629" s="35" t="n">
        <f aca="false">E629*G629</f>
        <v>14886.9450765822</v>
      </c>
      <c r="I629" s="47" t="n">
        <f aca="false">IF(F629&lt;365,Assumptions!$G$23,IF(F629&lt;=730,Assumptions!$H$23,Assumptions!$I$23))</f>
        <v>0</v>
      </c>
      <c r="J629" s="35" t="n">
        <f aca="false">H629*I629</f>
        <v>0</v>
      </c>
      <c r="K629" s="35" t="n">
        <f aca="false">H629-J629</f>
        <v>14886.9450765822</v>
      </c>
      <c r="L629" s="35" t="n">
        <f aca="false">K629-C629</f>
        <v>2886.94507658222</v>
      </c>
      <c r="M629" s="33" t="str">
        <f aca="false">IF(F629&gt;365,"LTCG","STCG")</f>
        <v>LTCG</v>
      </c>
      <c r="N629" s="47" t="n">
        <f aca="false">IF(M629="LTCG",Assumptions!$C$12,Assumptions!$C$11)</f>
        <v>0.125</v>
      </c>
      <c r="O629" s="33" t="str">
        <f aca="false">IF(M629="STCG",MAX(L629,0)*Assumptions!$C$11,"agg. below")</f>
        <v>agg. below</v>
      </c>
    </row>
    <row r="630" customFormat="false" ht="15" hidden="false" customHeight="false" outlineLevel="1" collapsed="false">
      <c r="A630" s="38" t="str">
        <f aca="false">TEXT(SIP_Fund3_SBISmallcap!B120,"mmm-yyyy")</f>
        <v>Aug-2034</v>
      </c>
      <c r="B630" s="39" t="n">
        <f aca="false">SIP_Fund3_SBISmallcap!B120</f>
        <v>49157</v>
      </c>
      <c r="C630" s="40" t="n">
        <f aca="false">SIP_Fund3_SBISmallcap!C120</f>
        <v>12000</v>
      </c>
      <c r="D630" s="41" t="n">
        <f aca="false">SIP_Fund3_SBISmallcap!D120</f>
        <v>649.107626097757</v>
      </c>
      <c r="E630" s="42" t="n">
        <f aca="false">SIP_Fund3_SBISmallcap!E120</f>
        <v>18.4869188367736</v>
      </c>
      <c r="F630" s="38" t="n">
        <f aca="false">Assumptions!$C$5-B630</f>
        <v>532</v>
      </c>
      <c r="G630" s="41" t="n">
        <f aca="false">Assumptions!$D$23*(1+Assumptions!$F$23)^((Assumptions!$C$5-Assumptions!$C$4)/365)</f>
        <v>795.766940037429</v>
      </c>
      <c r="H630" s="40" t="n">
        <f aca="false">E630*G630</f>
        <v>14711.2788334596</v>
      </c>
      <c r="I630" s="48" t="n">
        <f aca="false">IF(F630&lt;365,Assumptions!$G$23,IF(F630&lt;=730,Assumptions!$H$23,Assumptions!$I$23))</f>
        <v>0</v>
      </c>
      <c r="J630" s="40" t="n">
        <f aca="false">H630*I630</f>
        <v>0</v>
      </c>
      <c r="K630" s="40" t="n">
        <f aca="false">H630-J630</f>
        <v>14711.2788334596</v>
      </c>
      <c r="L630" s="40" t="n">
        <f aca="false">K630-C630</f>
        <v>2711.27883345963</v>
      </c>
      <c r="M630" s="38" t="str">
        <f aca="false">IF(F630&gt;365,"LTCG","STCG")</f>
        <v>LTCG</v>
      </c>
      <c r="N630" s="48" t="n">
        <f aca="false">IF(M630="LTCG",Assumptions!$C$12,Assumptions!$C$11)</f>
        <v>0.125</v>
      </c>
      <c r="O630" s="38" t="str">
        <f aca="false">IF(M630="STCG",MAX(L630,0)*Assumptions!$C$11,"agg. below")</f>
        <v>agg. below</v>
      </c>
    </row>
    <row r="631" customFormat="false" ht="15" hidden="false" customHeight="false" outlineLevel="1" collapsed="false">
      <c r="A631" s="33" t="str">
        <f aca="false">TEXT(SIP_Fund3_SBISmallcap!B121,"mmm-yyyy")</f>
        <v>Sep-2034</v>
      </c>
      <c r="B631" s="34" t="n">
        <f aca="false">SIP_Fund3_SBISmallcap!B121</f>
        <v>49188</v>
      </c>
      <c r="C631" s="35" t="n">
        <f aca="false">SIP_Fund3_SBISmallcap!C121</f>
        <v>12000</v>
      </c>
      <c r="D631" s="36" t="n">
        <f aca="false">SIP_Fund3_SBISmallcap!D121</f>
        <v>656.858570074121</v>
      </c>
      <c r="E631" s="37" t="n">
        <f aca="false">SIP_Fund3_SBISmallcap!E121</f>
        <v>18.2687728328579</v>
      </c>
      <c r="F631" s="33" t="n">
        <f aca="false">Assumptions!$C$5-B631</f>
        <v>501</v>
      </c>
      <c r="G631" s="36" t="n">
        <f aca="false">Assumptions!$D$23*(1+Assumptions!$F$23)^((Assumptions!$C$5-Assumptions!$C$4)/365)</f>
        <v>795.766940037429</v>
      </c>
      <c r="H631" s="35" t="n">
        <f aca="false">E631*G631</f>
        <v>14537.6854554423</v>
      </c>
      <c r="I631" s="47" t="n">
        <f aca="false">IF(F631&lt;365,Assumptions!$G$23,IF(F631&lt;=730,Assumptions!$H$23,Assumptions!$I$23))</f>
        <v>0</v>
      </c>
      <c r="J631" s="35" t="n">
        <f aca="false">H631*I631</f>
        <v>0</v>
      </c>
      <c r="K631" s="35" t="n">
        <f aca="false">H631-J631</f>
        <v>14537.6854554423</v>
      </c>
      <c r="L631" s="35" t="n">
        <f aca="false">K631-C631</f>
        <v>2537.68545544227</v>
      </c>
      <c r="M631" s="33" t="str">
        <f aca="false">IF(F631&gt;365,"LTCG","STCG")</f>
        <v>LTCG</v>
      </c>
      <c r="N631" s="47" t="n">
        <f aca="false">IF(M631="LTCG",Assumptions!$C$12,Assumptions!$C$11)</f>
        <v>0.125</v>
      </c>
      <c r="O631" s="33" t="str">
        <f aca="false">IF(M631="STCG",MAX(L631,0)*Assumptions!$C$11,"agg. below")</f>
        <v>agg. below</v>
      </c>
    </row>
    <row r="632" customFormat="false" ht="15" hidden="false" customHeight="false" outlineLevel="1" collapsed="false">
      <c r="A632" s="38" t="str">
        <f aca="false">TEXT(SIP_Fund3_SBISmallcap!B122,"mmm-yyyy")</f>
        <v>Oct-2034</v>
      </c>
      <c r="B632" s="39" t="n">
        <f aca="false">SIP_Fund3_SBISmallcap!B122</f>
        <v>49218</v>
      </c>
      <c r="C632" s="40" t="n">
        <f aca="false">SIP_Fund3_SBISmallcap!C122</f>
        <v>12000</v>
      </c>
      <c r="D632" s="41" t="n">
        <f aca="false">SIP_Fund3_SBISmallcap!D122</f>
        <v>664.447595505646</v>
      </c>
      <c r="E632" s="42" t="n">
        <f aca="false">SIP_Fund3_SBISmallcap!E122</f>
        <v>18.0601150206104</v>
      </c>
      <c r="F632" s="38" t="n">
        <f aca="false">Assumptions!$C$5-B632</f>
        <v>471</v>
      </c>
      <c r="G632" s="41" t="n">
        <f aca="false">Assumptions!$D$23*(1+Assumptions!$F$23)^((Assumptions!$C$5-Assumptions!$C$4)/365)</f>
        <v>795.766940037429</v>
      </c>
      <c r="H632" s="40" t="n">
        <f aca="false">E632*G632</f>
        <v>14371.6424666752</v>
      </c>
      <c r="I632" s="48" t="n">
        <f aca="false">IF(F632&lt;365,Assumptions!$G$23,IF(F632&lt;=730,Assumptions!$H$23,Assumptions!$I$23))</f>
        <v>0</v>
      </c>
      <c r="J632" s="40" t="n">
        <f aca="false">H632*I632</f>
        <v>0</v>
      </c>
      <c r="K632" s="40" t="n">
        <f aca="false">H632-J632</f>
        <v>14371.6424666752</v>
      </c>
      <c r="L632" s="40" t="n">
        <f aca="false">K632-C632</f>
        <v>2371.64246667518</v>
      </c>
      <c r="M632" s="38" t="str">
        <f aca="false">IF(F632&gt;365,"LTCG","STCG")</f>
        <v>LTCG</v>
      </c>
      <c r="N632" s="48" t="n">
        <f aca="false">IF(M632="LTCG",Assumptions!$C$12,Assumptions!$C$11)</f>
        <v>0.125</v>
      </c>
      <c r="O632" s="38" t="str">
        <f aca="false">IF(M632="STCG",MAX(L632,0)*Assumptions!$C$11,"agg. below")</f>
        <v>agg. below</v>
      </c>
    </row>
    <row r="633" customFormat="false" ht="15" hidden="false" customHeight="false" outlineLevel="1" collapsed="false">
      <c r="A633" s="33" t="str">
        <f aca="false">TEXT(SIP_Fund3_SBISmallcap!B123,"mmm-yyyy")</f>
        <v>Nov-2034</v>
      </c>
      <c r="B633" s="34" t="n">
        <f aca="false">SIP_Fund3_SBISmallcap!B123</f>
        <v>49249</v>
      </c>
      <c r="C633" s="35" t="n">
        <f aca="false">SIP_Fund3_SBISmallcap!C123</f>
        <v>12000</v>
      </c>
      <c r="D633" s="36" t="n">
        <f aca="false">SIP_Fund3_SBISmallcap!D123</f>
        <v>672.381712870673</v>
      </c>
      <c r="E633" s="37" t="n">
        <f aca="false">SIP_Fund3_SBISmallcap!E123</f>
        <v>17.8470053100747</v>
      </c>
      <c r="F633" s="33" t="n">
        <f aca="false">Assumptions!$C$5-B633</f>
        <v>440</v>
      </c>
      <c r="G633" s="36" t="n">
        <f aca="false">Assumptions!$D$23*(1+Assumptions!$F$23)^((Assumptions!$C$5-Assumptions!$C$4)/365)</f>
        <v>795.766940037429</v>
      </c>
      <c r="H633" s="35" t="n">
        <f aca="false">E633*G633</f>
        <v>14202.0568044299</v>
      </c>
      <c r="I633" s="47" t="n">
        <f aca="false">IF(F633&lt;365,Assumptions!$G$23,IF(F633&lt;=730,Assumptions!$H$23,Assumptions!$I$23))</f>
        <v>0</v>
      </c>
      <c r="J633" s="35" t="n">
        <f aca="false">H633*I633</f>
        <v>0</v>
      </c>
      <c r="K633" s="35" t="n">
        <f aca="false">H633-J633</f>
        <v>14202.0568044299</v>
      </c>
      <c r="L633" s="35" t="n">
        <f aca="false">K633-C633</f>
        <v>2202.05680442986</v>
      </c>
      <c r="M633" s="33" t="str">
        <f aca="false">IF(F633&gt;365,"LTCG","STCG")</f>
        <v>LTCG</v>
      </c>
      <c r="N633" s="47" t="n">
        <f aca="false">IF(M633="LTCG",Assumptions!$C$12,Assumptions!$C$11)</f>
        <v>0.125</v>
      </c>
      <c r="O633" s="33" t="str">
        <f aca="false">IF(M633="STCG",MAX(L633,0)*Assumptions!$C$11,"agg. below")</f>
        <v>agg. below</v>
      </c>
    </row>
    <row r="634" customFormat="false" ht="15" hidden="false" customHeight="false" outlineLevel="1" collapsed="false">
      <c r="A634" s="38" t="str">
        <f aca="false">TEXT(SIP_Fund3_SBISmallcap!B124,"mmm-yyyy")</f>
        <v>Dec-2034</v>
      </c>
      <c r="B634" s="39" t="n">
        <f aca="false">SIP_Fund3_SBISmallcap!B124</f>
        <v>49279</v>
      </c>
      <c r="C634" s="40" t="n">
        <f aca="false">SIP_Fund3_SBISmallcap!C124</f>
        <v>12000</v>
      </c>
      <c r="D634" s="41" t="n">
        <f aca="false">SIP_Fund3_SBISmallcap!D124</f>
        <v>680.150085167456</v>
      </c>
      <c r="E634" s="42" t="n">
        <f aca="false">SIP_Fund3_SBISmallcap!E124</f>
        <v>17.6431647392142</v>
      </c>
      <c r="F634" s="38" t="n">
        <f aca="false">Assumptions!$C$5-B634</f>
        <v>410</v>
      </c>
      <c r="G634" s="41" t="n">
        <f aca="false">Assumptions!$D$23*(1+Assumptions!$F$23)^((Assumptions!$C$5-Assumptions!$C$4)/365)</f>
        <v>795.766940037429</v>
      </c>
      <c r="H634" s="40" t="n">
        <f aca="false">E634*G634</f>
        <v>14039.8472171008</v>
      </c>
      <c r="I634" s="48" t="n">
        <f aca="false">IF(F634&lt;365,Assumptions!$G$23,IF(F634&lt;=730,Assumptions!$H$23,Assumptions!$I$23))</f>
        <v>0</v>
      </c>
      <c r="J634" s="40" t="n">
        <f aca="false">H634*I634</f>
        <v>0</v>
      </c>
      <c r="K634" s="40" t="n">
        <f aca="false">H634-J634</f>
        <v>14039.8472171008</v>
      </c>
      <c r="L634" s="40" t="n">
        <f aca="false">K634-C634</f>
        <v>2039.84721710076</v>
      </c>
      <c r="M634" s="38" t="str">
        <f aca="false">IF(F634&gt;365,"LTCG","STCG")</f>
        <v>LTCG</v>
      </c>
      <c r="N634" s="48" t="n">
        <f aca="false">IF(M634="LTCG",Assumptions!$C$12,Assumptions!$C$11)</f>
        <v>0.125</v>
      </c>
      <c r="O634" s="38" t="str">
        <f aca="false">IF(M634="STCG",MAX(L634,0)*Assumptions!$C$11,"agg. below")</f>
        <v>agg. below</v>
      </c>
    </row>
    <row r="635" customFormat="false" ht="15" hidden="false" customHeight="false" outlineLevel="0" collapsed="false">
      <c r="A635" s="49" t="s">
        <v>147</v>
      </c>
      <c r="B635" s="49"/>
      <c r="C635" s="44" t="n">
        <f aca="false">SUM(C515:C634)</f>
        <v>900000</v>
      </c>
      <c r="D635" s="49"/>
      <c r="E635" s="49"/>
      <c r="F635" s="49"/>
      <c r="G635" s="49"/>
      <c r="H635" s="44" t="n">
        <f aca="false">SUM(H515:H634)</f>
        <v>1942458.56061948</v>
      </c>
      <c r="I635" s="49"/>
      <c r="J635" s="44" t="n">
        <f aca="false">SUM(J515:J634)</f>
        <v>0</v>
      </c>
      <c r="K635" s="44" t="n">
        <f aca="false">SUM(K515:K634)</f>
        <v>1942458.56061948</v>
      </c>
      <c r="L635" s="44" t="n">
        <f aca="false">SUM(L515:L634)</f>
        <v>1042458.56061948</v>
      </c>
      <c r="M635" s="49"/>
      <c r="N635" s="49"/>
      <c r="O635" s="44" t="n">
        <f aca="false">SUMIF(M515:M634,"STCG",O515:O634)+MAX(0,SUMIF(M515:M634,"LTCG",L515:L634)-Assumptions!$C$13)*Assumptions!$C$12</f>
        <v>114682.320077435</v>
      </c>
    </row>
    <row r="636" customFormat="false" ht="15" hidden="false" customHeight="false" outlineLevel="0" collapsed="false">
      <c r="A636" s="50" t="s">
        <v>148</v>
      </c>
      <c r="B636" s="50"/>
      <c r="C636" s="50"/>
      <c r="D636" s="50"/>
      <c r="E636" s="50"/>
      <c r="F636" s="50"/>
      <c r="G636" s="50"/>
      <c r="H636" s="50"/>
      <c r="I636" s="50"/>
      <c r="J636" s="50"/>
      <c r="K636" s="50"/>
      <c r="L636" s="50"/>
      <c r="M636" s="50"/>
      <c r="N636" s="50"/>
      <c r="O636" s="51" t="n">
        <f aca="false">K635-O635</f>
        <v>1827776.24054205</v>
      </c>
    </row>
    <row r="638" customFormat="false" ht="15" hidden="false" customHeight="false" outlineLevel="0" collapsed="false">
      <c r="A638" s="5" t="s">
        <v>149</v>
      </c>
    </row>
    <row r="639" customFormat="false" ht="25.5" hidden="false" customHeight="true" outlineLevel="0" collapsed="false">
      <c r="A639" s="46" t="s">
        <v>132</v>
      </c>
      <c r="B639" s="46" t="s">
        <v>133</v>
      </c>
      <c r="C639" s="46" t="s">
        <v>134</v>
      </c>
      <c r="D639" s="46" t="s">
        <v>135</v>
      </c>
      <c r="E639" s="46" t="s">
        <v>136</v>
      </c>
      <c r="F639" s="46" t="s">
        <v>137</v>
      </c>
      <c r="G639" s="46" t="s">
        <v>138</v>
      </c>
      <c r="H639" s="46" t="s">
        <v>139</v>
      </c>
      <c r="I639" s="46" t="s">
        <v>140</v>
      </c>
      <c r="J639" s="46" t="s">
        <v>141</v>
      </c>
      <c r="K639" s="46" t="s">
        <v>142</v>
      </c>
      <c r="L639" s="46" t="s">
        <v>143</v>
      </c>
      <c r="M639" s="46" t="s">
        <v>144</v>
      </c>
      <c r="N639" s="46" t="s">
        <v>145</v>
      </c>
      <c r="O639" s="46" t="s">
        <v>146</v>
      </c>
    </row>
    <row r="640" customFormat="false" ht="15" hidden="false" customHeight="false" outlineLevel="1" collapsed="false">
      <c r="A640" s="33" t="str">
        <f aca="false">TEXT(SIP_Fund3_SBISmallcap!B5,"mmm-yyyy")</f>
        <v>Jan-2025</v>
      </c>
      <c r="B640" s="34" t="n">
        <f aca="false">SIP_Fund3_SBISmallcap!B5</f>
        <v>45658</v>
      </c>
      <c r="C640" s="35" t="n">
        <f aca="false">SIP_Fund3_SBISmallcap!C5</f>
        <v>3000</v>
      </c>
      <c r="D640" s="36" t="n">
        <f aca="false">SIP_Fund3_SBISmallcap!H5</f>
        <v>149</v>
      </c>
      <c r="E640" s="37" t="n">
        <f aca="false">SIP_Fund3_SBISmallcap!I5</f>
        <v>20.1342281879195</v>
      </c>
      <c r="F640" s="33" t="n">
        <f aca="false">Assumptions!$C$5-B640</f>
        <v>4031</v>
      </c>
      <c r="G640" s="36" t="n">
        <f aca="false">Assumptions!$D$24*(1+Assumptions!$F$24)^((Assumptions!$C$5-Assumptions!$C$4)/365)</f>
        <v>646.340264247885</v>
      </c>
      <c r="H640" s="35" t="n">
        <f aca="false">E640*G640</f>
        <v>13013.5623674071</v>
      </c>
      <c r="I640" s="47" t="n">
        <f aca="false">IF(F640&lt;365,Assumptions!$G$24,IF(F640&lt;=730,Assumptions!$H$24,Assumptions!$I$24))</f>
        <v>0</v>
      </c>
      <c r="J640" s="35" t="n">
        <f aca="false">H640*I640</f>
        <v>0</v>
      </c>
      <c r="K640" s="35" t="n">
        <f aca="false">H640-J640</f>
        <v>13013.5623674071</v>
      </c>
      <c r="L640" s="35" t="n">
        <f aca="false">K640-C640</f>
        <v>10013.5623674071</v>
      </c>
      <c r="M640" s="33" t="str">
        <f aca="false">IF(F640&gt;365,"LTCG","STCG")</f>
        <v>LTCG</v>
      </c>
      <c r="N640" s="47" t="n">
        <f aca="false">IF(M640="LTCG",Assumptions!$C$12,Assumptions!$C$11)</f>
        <v>0.125</v>
      </c>
      <c r="O640" s="33" t="str">
        <f aca="false">IF(M640="STCG",MAX(L640,0)*Assumptions!$C$11,"agg. below")</f>
        <v>agg. below</v>
      </c>
    </row>
    <row r="641" customFormat="false" ht="15" hidden="false" customHeight="false" outlineLevel="1" collapsed="false">
      <c r="A641" s="38" t="str">
        <f aca="false">TEXT(SIP_Fund3_SBISmallcap!B6,"mmm-yyyy")</f>
        <v>Feb-2025</v>
      </c>
      <c r="B641" s="39" t="n">
        <f aca="false">SIP_Fund3_SBISmallcap!B6</f>
        <v>45689</v>
      </c>
      <c r="C641" s="40" t="n">
        <f aca="false">SIP_Fund3_SBISmallcap!C6</f>
        <v>3000</v>
      </c>
      <c r="D641" s="41" t="n">
        <f aca="false">SIP_Fund3_SBISmallcap!H6</f>
        <v>150.69094876722</v>
      </c>
      <c r="E641" s="42" t="n">
        <f aca="false">SIP_Fund3_SBISmallcap!I6</f>
        <v>19.9082959165269</v>
      </c>
      <c r="F641" s="38" t="n">
        <f aca="false">Assumptions!$C$5-B641</f>
        <v>4000</v>
      </c>
      <c r="G641" s="41" t="n">
        <f aca="false">Assumptions!$D$24*(1+Assumptions!$F$24)^((Assumptions!$C$5-Assumptions!$C$4)/365)</f>
        <v>646.340264247885</v>
      </c>
      <c r="H641" s="40" t="n">
        <f aca="false">E641*G641</f>
        <v>12867.5332434131</v>
      </c>
      <c r="I641" s="48" t="n">
        <f aca="false">IF(F641&lt;365,Assumptions!$G$24,IF(F641&lt;=730,Assumptions!$H$24,Assumptions!$I$24))</f>
        <v>0</v>
      </c>
      <c r="J641" s="40" t="n">
        <f aca="false">H641*I641</f>
        <v>0</v>
      </c>
      <c r="K641" s="40" t="n">
        <f aca="false">H641-J641</f>
        <v>12867.5332434131</v>
      </c>
      <c r="L641" s="40" t="n">
        <f aca="false">K641-C641</f>
        <v>9867.53324341306</v>
      </c>
      <c r="M641" s="38" t="str">
        <f aca="false">IF(F641&gt;365,"LTCG","STCG")</f>
        <v>LTCG</v>
      </c>
      <c r="N641" s="48" t="n">
        <f aca="false">IF(M641="LTCG",Assumptions!$C$12,Assumptions!$C$11)</f>
        <v>0.125</v>
      </c>
      <c r="O641" s="38" t="str">
        <f aca="false">IF(M641="STCG",MAX(L641,0)*Assumptions!$C$11,"agg. below")</f>
        <v>agg. below</v>
      </c>
    </row>
    <row r="642" customFormat="false" ht="15" hidden="false" customHeight="false" outlineLevel="1" collapsed="false">
      <c r="A642" s="33" t="str">
        <f aca="false">TEXT(SIP_Fund3_SBISmallcap!B7,"mmm-yyyy")</f>
        <v>Mar-2025</v>
      </c>
      <c r="B642" s="34" t="n">
        <f aca="false">SIP_Fund3_SBISmallcap!B7</f>
        <v>45717</v>
      </c>
      <c r="C642" s="35" t="n">
        <f aca="false">SIP_Fund3_SBISmallcap!C7</f>
        <v>3000</v>
      </c>
      <c r="D642" s="36" t="n">
        <f aca="false">SIP_Fund3_SBISmallcap!H7</f>
        <v>152.234745512858</v>
      </c>
      <c r="E642" s="37" t="n">
        <f aca="false">SIP_Fund3_SBISmallcap!I7</f>
        <v>19.706407954987</v>
      </c>
      <c r="F642" s="33" t="n">
        <f aca="false">Assumptions!$C$5-B642</f>
        <v>3972</v>
      </c>
      <c r="G642" s="36" t="n">
        <f aca="false">Assumptions!$D$24*(1+Assumptions!$F$24)^((Assumptions!$C$5-Assumptions!$C$4)/365)</f>
        <v>646.340264247885</v>
      </c>
      <c r="H642" s="35" t="n">
        <f aca="false">E642*G642</f>
        <v>12737.0449250029</v>
      </c>
      <c r="I642" s="47" t="n">
        <f aca="false">IF(F642&lt;365,Assumptions!$G$24,IF(F642&lt;=730,Assumptions!$H$24,Assumptions!$I$24))</f>
        <v>0</v>
      </c>
      <c r="J642" s="35" t="n">
        <f aca="false">H642*I642</f>
        <v>0</v>
      </c>
      <c r="K642" s="35" t="n">
        <f aca="false">H642-J642</f>
        <v>12737.0449250029</v>
      </c>
      <c r="L642" s="35" t="n">
        <f aca="false">K642-C642</f>
        <v>9737.04492500289</v>
      </c>
      <c r="M642" s="33" t="str">
        <f aca="false">IF(F642&gt;365,"LTCG","STCG")</f>
        <v>LTCG</v>
      </c>
      <c r="N642" s="47" t="n">
        <f aca="false">IF(M642="LTCG",Assumptions!$C$12,Assumptions!$C$11)</f>
        <v>0.125</v>
      </c>
      <c r="O642" s="33" t="str">
        <f aca="false">IF(M642="STCG",MAX(L642,0)*Assumptions!$C$11,"agg. below")</f>
        <v>agg. below</v>
      </c>
    </row>
    <row r="643" customFormat="false" ht="15" hidden="false" customHeight="false" outlineLevel="1" collapsed="false">
      <c r="A643" s="38" t="str">
        <f aca="false">TEXT(SIP_Fund3_SBISmallcap!B8,"mmm-yyyy")</f>
        <v>Apr-2025</v>
      </c>
      <c r="B643" s="39" t="n">
        <f aca="false">SIP_Fund3_SBISmallcap!B8</f>
        <v>45748</v>
      </c>
      <c r="C643" s="40" t="n">
        <f aca="false">SIP_Fund3_SBISmallcap!C8</f>
        <v>3000</v>
      </c>
      <c r="D643" s="41" t="n">
        <f aca="false">SIP_Fund3_SBISmallcap!H8</f>
        <v>153.962404272945</v>
      </c>
      <c r="E643" s="42" t="n">
        <f aca="false">SIP_Fund3_SBISmallcap!I8</f>
        <v>19.4852763839774</v>
      </c>
      <c r="F643" s="38" t="n">
        <f aca="false">Assumptions!$C$5-B643</f>
        <v>3941</v>
      </c>
      <c r="G643" s="41" t="n">
        <f aca="false">Assumptions!$D$24*(1+Assumptions!$F$24)^((Assumptions!$C$5-Assumptions!$C$4)/365)</f>
        <v>646.340264247885</v>
      </c>
      <c r="H643" s="40" t="n">
        <f aca="false">E643*G643</f>
        <v>12594.118686963</v>
      </c>
      <c r="I643" s="48" t="n">
        <f aca="false">IF(F643&lt;365,Assumptions!$G$24,IF(F643&lt;=730,Assumptions!$H$24,Assumptions!$I$24))</f>
        <v>0</v>
      </c>
      <c r="J643" s="40" t="n">
        <f aca="false">H643*I643</f>
        <v>0</v>
      </c>
      <c r="K643" s="40" t="n">
        <f aca="false">H643-J643</f>
        <v>12594.118686963</v>
      </c>
      <c r="L643" s="40" t="n">
        <f aca="false">K643-C643</f>
        <v>9594.11868696303</v>
      </c>
      <c r="M643" s="38" t="str">
        <f aca="false">IF(F643&gt;365,"LTCG","STCG")</f>
        <v>LTCG</v>
      </c>
      <c r="N643" s="48" t="n">
        <f aca="false">IF(M643="LTCG",Assumptions!$C$12,Assumptions!$C$11)</f>
        <v>0.125</v>
      </c>
      <c r="O643" s="38" t="str">
        <f aca="false">IF(M643="STCG",MAX(L643,0)*Assumptions!$C$11,"agg. below")</f>
        <v>agg. below</v>
      </c>
    </row>
    <row r="644" customFormat="false" ht="15" hidden="false" customHeight="false" outlineLevel="1" collapsed="false">
      <c r="A644" s="33" t="str">
        <f aca="false">TEXT(SIP_Fund3_SBISmallcap!B9,"mmm-yyyy")</f>
        <v>May-2025</v>
      </c>
      <c r="B644" s="34" t="n">
        <f aca="false">SIP_Fund3_SBISmallcap!B9</f>
        <v>45778</v>
      </c>
      <c r="C644" s="35" t="n">
        <f aca="false">SIP_Fund3_SBISmallcap!C9</f>
        <v>3000</v>
      </c>
      <c r="D644" s="36" t="n">
        <f aca="false">SIP_Fund3_SBISmallcap!H9</f>
        <v>155.652997922516</v>
      </c>
      <c r="E644" s="37" t="n">
        <f aca="false">SIP_Fund3_SBISmallcap!I9</f>
        <v>19.273640983731</v>
      </c>
      <c r="F644" s="33" t="n">
        <f aca="false">Assumptions!$C$5-B644</f>
        <v>3911</v>
      </c>
      <c r="G644" s="36" t="n">
        <f aca="false">Assumptions!$D$24*(1+Assumptions!$F$24)^((Assumptions!$C$5-Assumptions!$C$4)/365)</f>
        <v>646.340264247885</v>
      </c>
      <c r="H644" s="35" t="n">
        <f aca="false">E644*G644</f>
        <v>12457.3302064436</v>
      </c>
      <c r="I644" s="47" t="n">
        <f aca="false">IF(F644&lt;365,Assumptions!$G$24,IF(F644&lt;=730,Assumptions!$H$24,Assumptions!$I$24))</f>
        <v>0</v>
      </c>
      <c r="J644" s="35" t="n">
        <f aca="false">H644*I644</f>
        <v>0</v>
      </c>
      <c r="K644" s="35" t="n">
        <f aca="false">H644-J644</f>
        <v>12457.3302064436</v>
      </c>
      <c r="L644" s="35" t="n">
        <f aca="false">K644-C644</f>
        <v>9457.33020644357</v>
      </c>
      <c r="M644" s="33" t="str">
        <f aca="false">IF(F644&gt;365,"LTCG","STCG")</f>
        <v>LTCG</v>
      </c>
      <c r="N644" s="47" t="n">
        <f aca="false">IF(M644="LTCG",Assumptions!$C$12,Assumptions!$C$11)</f>
        <v>0.125</v>
      </c>
      <c r="O644" s="33" t="str">
        <f aca="false">IF(M644="STCG",MAX(L644,0)*Assumptions!$C$11,"agg. below")</f>
        <v>agg. below</v>
      </c>
    </row>
    <row r="645" customFormat="false" ht="15" hidden="false" customHeight="false" outlineLevel="1" collapsed="false">
      <c r="A645" s="38" t="str">
        <f aca="false">TEXT(SIP_Fund3_SBISmallcap!B10,"mmm-yyyy")</f>
        <v>Jun-2025</v>
      </c>
      <c r="B645" s="39" t="n">
        <f aca="false">SIP_Fund3_SBISmallcap!B10</f>
        <v>45809</v>
      </c>
      <c r="C645" s="40" t="n">
        <f aca="false">SIP_Fund3_SBISmallcap!C10</f>
        <v>3000</v>
      </c>
      <c r="D645" s="41" t="n">
        <f aca="false">SIP_Fund3_SBISmallcap!H10</f>
        <v>157.419449230913</v>
      </c>
      <c r="E645" s="42" t="n">
        <f aca="false">SIP_Fund3_SBISmallcap!I10</f>
        <v>19.0573656219532</v>
      </c>
      <c r="F645" s="38" t="n">
        <f aca="false">Assumptions!$C$5-B645</f>
        <v>3880</v>
      </c>
      <c r="G645" s="41" t="n">
        <f aca="false">Assumptions!$D$24*(1+Assumptions!$F$24)^((Assumptions!$C$5-Assumptions!$C$4)/365)</f>
        <v>646.340264247885</v>
      </c>
      <c r="H645" s="40" t="n">
        <f aca="false">E645*G645</f>
        <v>12317.5427319618</v>
      </c>
      <c r="I645" s="48" t="n">
        <f aca="false">IF(F645&lt;365,Assumptions!$G$24,IF(F645&lt;=730,Assumptions!$H$24,Assumptions!$I$24))</f>
        <v>0</v>
      </c>
      <c r="J645" s="40" t="n">
        <f aca="false">H645*I645</f>
        <v>0</v>
      </c>
      <c r="K645" s="40" t="n">
        <f aca="false">H645-J645</f>
        <v>12317.5427319618</v>
      </c>
      <c r="L645" s="40" t="n">
        <f aca="false">K645-C645</f>
        <v>9317.54273196178</v>
      </c>
      <c r="M645" s="38" t="str">
        <f aca="false">IF(F645&gt;365,"LTCG","STCG")</f>
        <v>LTCG</v>
      </c>
      <c r="N645" s="48" t="n">
        <f aca="false">IF(M645="LTCG",Assumptions!$C$12,Assumptions!$C$11)</f>
        <v>0.125</v>
      </c>
      <c r="O645" s="38" t="str">
        <f aca="false">IF(M645="STCG",MAX(L645,0)*Assumptions!$C$11,"agg. below")</f>
        <v>agg. below</v>
      </c>
    </row>
    <row r="646" customFormat="false" ht="15" hidden="false" customHeight="false" outlineLevel="1" collapsed="false">
      <c r="A646" s="33" t="str">
        <f aca="false">TEXT(SIP_Fund3_SBISmallcap!B11,"mmm-yyyy")</f>
        <v>Jul-2025</v>
      </c>
      <c r="B646" s="34" t="n">
        <f aca="false">SIP_Fund3_SBISmallcap!B11</f>
        <v>45839</v>
      </c>
      <c r="C646" s="35" t="n">
        <f aca="false">SIP_Fund3_SBISmallcap!C11</f>
        <v>3000</v>
      </c>
      <c r="D646" s="36" t="n">
        <f aca="false">SIP_Fund3_SBISmallcap!H11</f>
        <v>159.14800317527</v>
      </c>
      <c r="E646" s="37" t="n">
        <f aca="false">SIP_Fund3_SBISmallcap!I11</f>
        <v>18.8503778881605</v>
      </c>
      <c r="F646" s="33" t="n">
        <f aca="false">Assumptions!$C$5-B646</f>
        <v>3850</v>
      </c>
      <c r="G646" s="36" t="n">
        <f aca="false">Assumptions!$D$24*(1+Assumptions!$F$24)^((Assumptions!$C$5-Assumptions!$C$4)/365)</f>
        <v>646.340264247885</v>
      </c>
      <c r="H646" s="35" t="n">
        <f aca="false">E646*G646</f>
        <v>12183.7582254061</v>
      </c>
      <c r="I646" s="47" t="n">
        <f aca="false">IF(F646&lt;365,Assumptions!$G$24,IF(F646&lt;=730,Assumptions!$H$24,Assumptions!$I$24))</f>
        <v>0</v>
      </c>
      <c r="J646" s="35" t="n">
        <f aca="false">H646*I646</f>
        <v>0</v>
      </c>
      <c r="K646" s="35" t="n">
        <f aca="false">H646-J646</f>
        <v>12183.7582254061</v>
      </c>
      <c r="L646" s="35" t="n">
        <f aca="false">K646-C646</f>
        <v>9183.75822540615</v>
      </c>
      <c r="M646" s="33" t="str">
        <f aca="false">IF(F646&gt;365,"LTCG","STCG")</f>
        <v>LTCG</v>
      </c>
      <c r="N646" s="47" t="n">
        <f aca="false">IF(M646="LTCG",Assumptions!$C$12,Assumptions!$C$11)</f>
        <v>0.125</v>
      </c>
      <c r="O646" s="33" t="str">
        <f aca="false">IF(M646="STCG",MAX(L646,0)*Assumptions!$C$11,"agg. below")</f>
        <v>agg. below</v>
      </c>
    </row>
    <row r="647" customFormat="false" ht="15" hidden="false" customHeight="false" outlineLevel="1" collapsed="false">
      <c r="A647" s="38" t="str">
        <f aca="false">TEXT(SIP_Fund3_SBISmallcap!B12,"mmm-yyyy")</f>
        <v>Aug-2025</v>
      </c>
      <c r="B647" s="39" t="n">
        <f aca="false">SIP_Fund3_SBISmallcap!B12</f>
        <v>45870</v>
      </c>
      <c r="C647" s="40" t="n">
        <f aca="false">SIP_Fund3_SBISmallcap!C12</f>
        <v>3000</v>
      </c>
      <c r="D647" s="41" t="n">
        <f aca="false">SIP_Fund3_SBISmallcap!H12</f>
        <v>160.954118073086</v>
      </c>
      <c r="E647" s="42" t="n">
        <f aca="false">SIP_Fund3_SBISmallcap!I12</f>
        <v>18.6388520897474</v>
      </c>
      <c r="F647" s="38" t="n">
        <f aca="false">Assumptions!$C$5-B647</f>
        <v>3819</v>
      </c>
      <c r="G647" s="41" t="n">
        <f aca="false">Assumptions!$D$24*(1+Assumptions!$F$24)^((Assumptions!$C$5-Assumptions!$C$4)/365)</f>
        <v>646.340264247885</v>
      </c>
      <c r="H647" s="40" t="n">
        <f aca="false">E647*G647</f>
        <v>12047.0405849646</v>
      </c>
      <c r="I647" s="48" t="n">
        <f aca="false">IF(F647&lt;365,Assumptions!$G$24,IF(F647&lt;=730,Assumptions!$H$24,Assumptions!$I$24))</f>
        <v>0</v>
      </c>
      <c r="J647" s="40" t="n">
        <f aca="false">H647*I647</f>
        <v>0</v>
      </c>
      <c r="K647" s="40" t="n">
        <f aca="false">H647-J647</f>
        <v>12047.0405849646</v>
      </c>
      <c r="L647" s="40" t="n">
        <f aca="false">K647-C647</f>
        <v>9047.04058496459</v>
      </c>
      <c r="M647" s="38" t="str">
        <f aca="false">IF(F647&gt;365,"LTCG","STCG")</f>
        <v>LTCG</v>
      </c>
      <c r="N647" s="48" t="n">
        <f aca="false">IF(M647="LTCG",Assumptions!$C$12,Assumptions!$C$11)</f>
        <v>0.125</v>
      </c>
      <c r="O647" s="38" t="str">
        <f aca="false">IF(M647="STCG",MAX(L647,0)*Assumptions!$C$11,"agg. below")</f>
        <v>agg. below</v>
      </c>
    </row>
    <row r="648" customFormat="false" ht="15" hidden="false" customHeight="false" outlineLevel="1" collapsed="false">
      <c r="A648" s="33" t="str">
        <f aca="false">TEXT(SIP_Fund3_SBISmallcap!B13,"mmm-yyyy")</f>
        <v>Sep-2025</v>
      </c>
      <c r="B648" s="34" t="n">
        <f aca="false">SIP_Fund3_SBISmallcap!B13</f>
        <v>45901</v>
      </c>
      <c r="C648" s="35" t="n">
        <f aca="false">SIP_Fund3_SBISmallcap!C13</f>
        <v>3000</v>
      </c>
      <c r="D648" s="36" t="n">
        <f aca="false">SIP_Fund3_SBISmallcap!H13</f>
        <v>162.780729935735</v>
      </c>
      <c r="E648" s="37" t="n">
        <f aca="false">SIP_Fund3_SBISmallcap!I13</f>
        <v>18.429699886371</v>
      </c>
      <c r="F648" s="33" t="n">
        <f aca="false">Assumptions!$C$5-B648</f>
        <v>3788</v>
      </c>
      <c r="G648" s="36" t="n">
        <f aca="false">Assumptions!$D$24*(1+Assumptions!$F$24)^((Assumptions!$C$5-Assumptions!$C$4)/365)</f>
        <v>646.340264247885</v>
      </c>
      <c r="H648" s="35" t="n">
        <f aca="false">E648*G648</f>
        <v>11911.8570945662</v>
      </c>
      <c r="I648" s="47" t="n">
        <f aca="false">IF(F648&lt;365,Assumptions!$G$24,IF(F648&lt;=730,Assumptions!$H$24,Assumptions!$I$24))</f>
        <v>0</v>
      </c>
      <c r="J648" s="35" t="n">
        <f aca="false">H648*I648</f>
        <v>0</v>
      </c>
      <c r="K648" s="35" t="n">
        <f aca="false">H648-J648</f>
        <v>11911.8570945662</v>
      </c>
      <c r="L648" s="35" t="n">
        <f aca="false">K648-C648</f>
        <v>8911.85709456624</v>
      </c>
      <c r="M648" s="33" t="str">
        <f aca="false">IF(F648&gt;365,"LTCG","STCG")</f>
        <v>LTCG</v>
      </c>
      <c r="N648" s="47" t="n">
        <f aca="false">IF(M648="LTCG",Assumptions!$C$12,Assumptions!$C$11)</f>
        <v>0.125</v>
      </c>
      <c r="O648" s="33" t="str">
        <f aca="false">IF(M648="STCG",MAX(L648,0)*Assumptions!$C$11,"agg. below")</f>
        <v>agg. below</v>
      </c>
    </row>
    <row r="649" customFormat="false" ht="15" hidden="false" customHeight="false" outlineLevel="1" collapsed="false">
      <c r="A649" s="38" t="str">
        <f aca="false">TEXT(SIP_Fund3_SBISmallcap!B14,"mmm-yyyy")</f>
        <v>Oct-2025</v>
      </c>
      <c r="B649" s="39" t="n">
        <f aca="false">SIP_Fund3_SBISmallcap!B14</f>
        <v>45931</v>
      </c>
      <c r="C649" s="40" t="n">
        <f aca="false">SIP_Fund3_SBISmallcap!C14</f>
        <v>3000</v>
      </c>
      <c r="D649" s="41" t="n">
        <f aca="false">SIP_Fund3_SBISmallcap!H14</f>
        <v>164.568153752617</v>
      </c>
      <c r="E649" s="42" t="n">
        <f aca="false">SIP_Fund3_SBISmallcap!I14</f>
        <v>18.2295294173968</v>
      </c>
      <c r="F649" s="38" t="n">
        <f aca="false">Assumptions!$C$5-B649</f>
        <v>3758</v>
      </c>
      <c r="G649" s="41" t="n">
        <f aca="false">Assumptions!$D$24*(1+Assumptions!$F$24)^((Assumptions!$C$5-Assumptions!$C$4)/365)</f>
        <v>646.340264247885</v>
      </c>
      <c r="H649" s="40" t="n">
        <f aca="false">E649*G649</f>
        <v>11782.4788607548</v>
      </c>
      <c r="I649" s="48" t="n">
        <f aca="false">IF(F649&lt;365,Assumptions!$G$24,IF(F649&lt;=730,Assumptions!$H$24,Assumptions!$I$24))</f>
        <v>0</v>
      </c>
      <c r="J649" s="40" t="n">
        <f aca="false">H649*I649</f>
        <v>0</v>
      </c>
      <c r="K649" s="40" t="n">
        <f aca="false">H649-J649</f>
        <v>11782.4788607548</v>
      </c>
      <c r="L649" s="40" t="n">
        <f aca="false">K649-C649</f>
        <v>8782.47886075483</v>
      </c>
      <c r="M649" s="38" t="str">
        <f aca="false">IF(F649&gt;365,"LTCG","STCG")</f>
        <v>LTCG</v>
      </c>
      <c r="N649" s="48" t="n">
        <f aca="false">IF(M649="LTCG",Assumptions!$C$12,Assumptions!$C$11)</f>
        <v>0.125</v>
      </c>
      <c r="O649" s="38" t="str">
        <f aca="false">IF(M649="STCG",MAX(L649,0)*Assumptions!$C$11,"agg. below")</f>
        <v>agg. below</v>
      </c>
    </row>
    <row r="650" customFormat="false" ht="15" hidden="false" customHeight="false" outlineLevel="1" collapsed="false">
      <c r="A650" s="33" t="str">
        <f aca="false">TEXT(SIP_Fund3_SBISmallcap!B15,"mmm-yyyy")</f>
        <v>Nov-2025</v>
      </c>
      <c r="B650" s="34" t="n">
        <f aca="false">SIP_Fund3_SBISmallcap!B15</f>
        <v>45962</v>
      </c>
      <c r="C650" s="35" t="n">
        <f aca="false">SIP_Fund3_SBISmallcap!C15</f>
        <v>3000</v>
      </c>
      <c r="D650" s="36" t="n">
        <f aca="false">SIP_Fund3_SBISmallcap!H15</f>
        <v>166.435780039272</v>
      </c>
      <c r="E650" s="37" t="n">
        <f aca="false">SIP_Fund3_SBISmallcap!I15</f>
        <v>18.0249703476748</v>
      </c>
      <c r="F650" s="33" t="n">
        <f aca="false">Assumptions!$C$5-B650</f>
        <v>3727</v>
      </c>
      <c r="G650" s="36" t="n">
        <f aca="false">Assumptions!$D$24*(1+Assumptions!$F$24)^((Assumptions!$C$5-Assumptions!$C$4)/365)</f>
        <v>646.340264247885</v>
      </c>
      <c r="H650" s="35" t="n">
        <f aca="false">E650*G650</f>
        <v>11650.2640975764</v>
      </c>
      <c r="I650" s="47" t="n">
        <f aca="false">IF(F650&lt;365,Assumptions!$G$24,IF(F650&lt;=730,Assumptions!$H$24,Assumptions!$I$24))</f>
        <v>0</v>
      </c>
      <c r="J650" s="35" t="n">
        <f aca="false">H650*I650</f>
        <v>0</v>
      </c>
      <c r="K650" s="35" t="n">
        <f aca="false">H650-J650</f>
        <v>11650.2640975764</v>
      </c>
      <c r="L650" s="35" t="n">
        <f aca="false">K650-C650</f>
        <v>8650.26409757643</v>
      </c>
      <c r="M650" s="33" t="str">
        <f aca="false">IF(F650&gt;365,"LTCG","STCG")</f>
        <v>LTCG</v>
      </c>
      <c r="N650" s="47" t="n">
        <f aca="false">IF(M650="LTCG",Assumptions!$C$12,Assumptions!$C$11)</f>
        <v>0.125</v>
      </c>
      <c r="O650" s="33" t="str">
        <f aca="false">IF(M650="STCG",MAX(L650,0)*Assumptions!$C$11,"agg. below")</f>
        <v>agg. below</v>
      </c>
    </row>
    <row r="651" customFormat="false" ht="15" hidden="false" customHeight="false" outlineLevel="1" collapsed="false">
      <c r="A651" s="38" t="str">
        <f aca="false">TEXT(SIP_Fund3_SBISmallcap!B16,"mmm-yyyy")</f>
        <v>Dec-2025</v>
      </c>
      <c r="B651" s="39" t="n">
        <f aca="false">SIP_Fund3_SBISmallcap!B16</f>
        <v>45992</v>
      </c>
      <c r="C651" s="40" t="n">
        <f aca="false">SIP_Fund3_SBISmallcap!C16</f>
        <v>3000</v>
      </c>
      <c r="D651" s="41" t="n">
        <f aca="false">SIP_Fund3_SBISmallcap!H16</f>
        <v>168.263338358619</v>
      </c>
      <c r="E651" s="42" t="n">
        <f aca="false">SIP_Fund3_SBISmallcap!I16</f>
        <v>17.8291957669716</v>
      </c>
      <c r="F651" s="38" t="n">
        <f aca="false">Assumptions!$C$5-B651</f>
        <v>3697</v>
      </c>
      <c r="G651" s="41" t="n">
        <f aca="false">Assumptions!$D$24*(1+Assumptions!$F$24)^((Assumptions!$C$5-Assumptions!$C$4)/365)</f>
        <v>646.340264247885</v>
      </c>
      <c r="H651" s="40" t="n">
        <f aca="false">E651*G651</f>
        <v>11523.7271033517</v>
      </c>
      <c r="I651" s="48" t="n">
        <f aca="false">IF(F651&lt;365,Assumptions!$G$24,IF(F651&lt;=730,Assumptions!$H$24,Assumptions!$I$24))</f>
        <v>0</v>
      </c>
      <c r="J651" s="40" t="n">
        <f aca="false">H651*I651</f>
        <v>0</v>
      </c>
      <c r="K651" s="40" t="n">
        <f aca="false">H651-J651</f>
        <v>11523.7271033517</v>
      </c>
      <c r="L651" s="40" t="n">
        <f aca="false">K651-C651</f>
        <v>8523.7271033517</v>
      </c>
      <c r="M651" s="38" t="str">
        <f aca="false">IF(F651&gt;365,"LTCG","STCG")</f>
        <v>LTCG</v>
      </c>
      <c r="N651" s="48" t="n">
        <f aca="false">IF(M651="LTCG",Assumptions!$C$12,Assumptions!$C$11)</f>
        <v>0.125</v>
      </c>
      <c r="O651" s="38" t="str">
        <f aca="false">IF(M651="STCG",MAX(L651,0)*Assumptions!$C$11,"agg. below")</f>
        <v>agg. below</v>
      </c>
    </row>
    <row r="652" customFormat="false" ht="15" hidden="false" customHeight="false" outlineLevel="1" collapsed="false">
      <c r="A652" s="33" t="str">
        <f aca="false">TEXT(SIP_Fund3_SBISmallcap!B17,"mmm-yyyy")</f>
        <v>Jan-2026</v>
      </c>
      <c r="B652" s="34" t="n">
        <f aca="false">SIP_Fund3_SBISmallcap!B17</f>
        <v>46023</v>
      </c>
      <c r="C652" s="35" t="n">
        <f aca="false">SIP_Fund3_SBISmallcap!C17</f>
        <v>4000</v>
      </c>
      <c r="D652" s="36" t="n">
        <f aca="false">SIP_Fund3_SBISmallcap!H17</f>
        <v>170.1729</v>
      </c>
      <c r="E652" s="37" t="n">
        <f aca="false">SIP_Fund3_SBISmallcap!I17</f>
        <v>23.5055052831561</v>
      </c>
      <c r="F652" s="33" t="n">
        <f aca="false">Assumptions!$C$5-B652</f>
        <v>3666</v>
      </c>
      <c r="G652" s="36" t="n">
        <f aca="false">Assumptions!$D$24*(1+Assumptions!$F$24)^((Assumptions!$C$5-Assumptions!$C$4)/365)</f>
        <v>646.340264247885</v>
      </c>
      <c r="H652" s="35" t="n">
        <f aca="false">E652*G652</f>
        <v>15192.5544959952</v>
      </c>
      <c r="I652" s="47" t="n">
        <f aca="false">IF(F652&lt;365,Assumptions!$G$24,IF(F652&lt;=730,Assumptions!$H$24,Assumptions!$I$24))</f>
        <v>0</v>
      </c>
      <c r="J652" s="35" t="n">
        <f aca="false">H652*I652</f>
        <v>0</v>
      </c>
      <c r="K652" s="35" t="n">
        <f aca="false">H652-J652</f>
        <v>15192.5544959952</v>
      </c>
      <c r="L652" s="35" t="n">
        <f aca="false">K652-C652</f>
        <v>11192.5544959952</v>
      </c>
      <c r="M652" s="33" t="str">
        <f aca="false">IF(F652&gt;365,"LTCG","STCG")</f>
        <v>LTCG</v>
      </c>
      <c r="N652" s="47" t="n">
        <f aca="false">IF(M652="LTCG",Assumptions!$C$12,Assumptions!$C$11)</f>
        <v>0.125</v>
      </c>
      <c r="O652" s="33" t="str">
        <f aca="false">IF(M652="STCG",MAX(L652,0)*Assumptions!$C$11,"agg. below")</f>
        <v>agg. below</v>
      </c>
    </row>
    <row r="653" customFormat="false" ht="15" hidden="false" customHeight="false" outlineLevel="1" collapsed="false">
      <c r="A653" s="38" t="str">
        <f aca="false">TEXT(SIP_Fund3_SBISmallcap!B18,"mmm-yyyy")</f>
        <v>Feb-2026</v>
      </c>
      <c r="B653" s="39" t="n">
        <f aca="false">SIP_Fund3_SBISmallcap!B18</f>
        <v>46054</v>
      </c>
      <c r="C653" s="40" t="n">
        <f aca="false">SIP_Fund3_SBISmallcap!C18</f>
        <v>4000</v>
      </c>
      <c r="D653" s="41" t="n">
        <f aca="false">SIP_Fund3_SBISmallcap!H18</f>
        <v>172.104132587042</v>
      </c>
      <c r="E653" s="42" t="n">
        <f aca="false">SIP_Fund3_SBISmallcap!I18</f>
        <v>23.241742890613</v>
      </c>
      <c r="F653" s="38" t="n">
        <f aca="false">Assumptions!$C$5-B653</f>
        <v>3635</v>
      </c>
      <c r="G653" s="41" t="n">
        <f aca="false">Assumptions!$D$24*(1+Assumptions!$F$24)^((Assumptions!$C$5-Assumptions!$C$4)/365)</f>
        <v>646.340264247885</v>
      </c>
      <c r="H653" s="40" t="n">
        <f aca="false">E653*G653</f>
        <v>15022.0742415002</v>
      </c>
      <c r="I653" s="48" t="n">
        <f aca="false">IF(F653&lt;365,Assumptions!$G$24,IF(F653&lt;=730,Assumptions!$H$24,Assumptions!$I$24))</f>
        <v>0</v>
      </c>
      <c r="J653" s="40" t="n">
        <f aca="false">H653*I653</f>
        <v>0</v>
      </c>
      <c r="K653" s="40" t="n">
        <f aca="false">H653-J653</f>
        <v>15022.0742415002</v>
      </c>
      <c r="L653" s="40" t="n">
        <f aca="false">K653-C653</f>
        <v>11022.0742415002</v>
      </c>
      <c r="M653" s="38" t="str">
        <f aca="false">IF(F653&gt;365,"LTCG","STCG")</f>
        <v>LTCG</v>
      </c>
      <c r="N653" s="48" t="n">
        <f aca="false">IF(M653="LTCG",Assumptions!$C$12,Assumptions!$C$11)</f>
        <v>0.125</v>
      </c>
      <c r="O653" s="38" t="str">
        <f aca="false">IF(M653="STCG",MAX(L653,0)*Assumptions!$C$11,"agg. below")</f>
        <v>agg. below</v>
      </c>
    </row>
    <row r="654" customFormat="false" ht="15" hidden="false" customHeight="false" outlineLevel="1" collapsed="false">
      <c r="A654" s="33" t="str">
        <f aca="false">TEXT(SIP_Fund3_SBISmallcap!B19,"mmm-yyyy")</f>
        <v>Mar-2026</v>
      </c>
      <c r="B654" s="34" t="n">
        <f aca="false">SIP_Fund3_SBISmallcap!B19</f>
        <v>46082</v>
      </c>
      <c r="C654" s="35" t="n">
        <f aca="false">SIP_Fund3_SBISmallcap!C19</f>
        <v>4000</v>
      </c>
      <c r="D654" s="36" t="n">
        <f aca="false">SIP_Fund3_SBISmallcap!H19</f>
        <v>173.867302850235</v>
      </c>
      <c r="E654" s="37" t="n">
        <f aca="false">SIP_Fund3_SBISmallcap!I19</f>
        <v>23.0060507894661</v>
      </c>
      <c r="F654" s="33" t="n">
        <f aca="false">Assumptions!$C$5-B654</f>
        <v>3607</v>
      </c>
      <c r="G654" s="36" t="n">
        <f aca="false">Assumptions!$D$24*(1+Assumptions!$F$24)^((Assumptions!$C$5-Assumptions!$C$4)/365)</f>
        <v>646.340264247885</v>
      </c>
      <c r="H654" s="35" t="n">
        <f aca="false">E654*G654</f>
        <v>14869.7369465638</v>
      </c>
      <c r="I654" s="47" t="n">
        <f aca="false">IF(F654&lt;365,Assumptions!$G$24,IF(F654&lt;=730,Assumptions!$H$24,Assumptions!$I$24))</f>
        <v>0</v>
      </c>
      <c r="J654" s="35" t="n">
        <f aca="false">H654*I654</f>
        <v>0</v>
      </c>
      <c r="K654" s="35" t="n">
        <f aca="false">H654-J654</f>
        <v>14869.7369465638</v>
      </c>
      <c r="L654" s="35" t="n">
        <f aca="false">K654-C654</f>
        <v>10869.7369465638</v>
      </c>
      <c r="M654" s="33" t="str">
        <f aca="false">IF(F654&gt;365,"LTCG","STCG")</f>
        <v>LTCG</v>
      </c>
      <c r="N654" s="47" t="n">
        <f aca="false">IF(M654="LTCG",Assumptions!$C$12,Assumptions!$C$11)</f>
        <v>0.125</v>
      </c>
      <c r="O654" s="33" t="str">
        <f aca="false">IF(M654="STCG",MAX(L654,0)*Assumptions!$C$11,"agg. below")</f>
        <v>agg. below</v>
      </c>
    </row>
    <row r="655" customFormat="false" ht="15" hidden="false" customHeight="false" outlineLevel="1" collapsed="false">
      <c r="A655" s="38" t="str">
        <f aca="false">TEXT(SIP_Fund3_SBISmallcap!B20,"mmm-yyyy")</f>
        <v>Apr-2026</v>
      </c>
      <c r="B655" s="39" t="n">
        <f aca="false">SIP_Fund3_SBISmallcap!B20</f>
        <v>46113</v>
      </c>
      <c r="C655" s="40" t="n">
        <f aca="false">SIP_Fund3_SBISmallcap!C20</f>
        <v>4000</v>
      </c>
      <c r="D655" s="41" t="n">
        <f aca="false">SIP_Fund3_SBISmallcap!H20</f>
        <v>175.840461920131</v>
      </c>
      <c r="E655" s="42" t="n">
        <f aca="false">SIP_Fund3_SBISmallcap!I20</f>
        <v>22.7478929270378</v>
      </c>
      <c r="F655" s="38" t="n">
        <f aca="false">Assumptions!$C$5-B655</f>
        <v>3576</v>
      </c>
      <c r="G655" s="41" t="n">
        <f aca="false">Assumptions!$D$24*(1+Assumptions!$F$24)^((Assumptions!$C$5-Assumptions!$C$4)/365)</f>
        <v>646.340264247885</v>
      </c>
      <c r="H655" s="40" t="n">
        <f aca="false">E655*G655</f>
        <v>14702.8791255442</v>
      </c>
      <c r="I655" s="48" t="n">
        <f aca="false">IF(F655&lt;365,Assumptions!$G$24,IF(F655&lt;=730,Assumptions!$H$24,Assumptions!$I$24))</f>
        <v>0</v>
      </c>
      <c r="J655" s="40" t="n">
        <f aca="false">H655*I655</f>
        <v>0</v>
      </c>
      <c r="K655" s="40" t="n">
        <f aca="false">H655-J655</f>
        <v>14702.8791255442</v>
      </c>
      <c r="L655" s="40" t="n">
        <f aca="false">K655-C655</f>
        <v>10702.8791255442</v>
      </c>
      <c r="M655" s="38" t="str">
        <f aca="false">IF(F655&gt;365,"LTCG","STCG")</f>
        <v>LTCG</v>
      </c>
      <c r="N655" s="48" t="n">
        <f aca="false">IF(M655="LTCG",Assumptions!$C$12,Assumptions!$C$11)</f>
        <v>0.125</v>
      </c>
      <c r="O655" s="38" t="str">
        <f aca="false">IF(M655="STCG",MAX(L655,0)*Assumptions!$C$11,"agg. below")</f>
        <v>agg. below</v>
      </c>
    </row>
    <row r="656" customFormat="false" ht="15" hidden="false" customHeight="false" outlineLevel="1" collapsed="false">
      <c r="A656" s="33" t="str">
        <f aca="false">TEXT(SIP_Fund3_SBISmallcap!B21,"mmm-yyyy")</f>
        <v>May-2026</v>
      </c>
      <c r="B656" s="34" t="n">
        <f aca="false">SIP_Fund3_SBISmallcap!B21</f>
        <v>46143</v>
      </c>
      <c r="C656" s="35" t="n">
        <f aca="false">SIP_Fund3_SBISmallcap!C21</f>
        <v>4000</v>
      </c>
      <c r="D656" s="36" t="n">
        <f aca="false">SIP_Fund3_SBISmallcap!H21</f>
        <v>177.771288927305</v>
      </c>
      <c r="E656" s="37" t="n">
        <f aca="false">SIP_Fund3_SBISmallcap!I21</f>
        <v>22.5008212751143</v>
      </c>
      <c r="F656" s="33" t="n">
        <f aca="false">Assumptions!$C$5-B656</f>
        <v>3546</v>
      </c>
      <c r="G656" s="36" t="n">
        <f aca="false">Assumptions!$D$24*(1+Assumptions!$F$24)^((Assumptions!$C$5-Assumptions!$C$4)/365)</f>
        <v>646.340264247885</v>
      </c>
      <c r="H656" s="35" t="n">
        <f aca="false">E656*G656</f>
        <v>14543.1867687518</v>
      </c>
      <c r="I656" s="47" t="n">
        <f aca="false">IF(F656&lt;365,Assumptions!$G$24,IF(F656&lt;=730,Assumptions!$H$24,Assumptions!$I$24))</f>
        <v>0</v>
      </c>
      <c r="J656" s="35" t="n">
        <f aca="false">H656*I656</f>
        <v>0</v>
      </c>
      <c r="K656" s="35" t="n">
        <f aca="false">H656-J656</f>
        <v>14543.1867687518</v>
      </c>
      <c r="L656" s="35" t="n">
        <f aca="false">K656-C656</f>
        <v>10543.1867687518</v>
      </c>
      <c r="M656" s="33" t="str">
        <f aca="false">IF(F656&gt;365,"LTCG","STCG")</f>
        <v>LTCG</v>
      </c>
      <c r="N656" s="47" t="n">
        <f aca="false">IF(M656="LTCG",Assumptions!$C$12,Assumptions!$C$11)</f>
        <v>0.125</v>
      </c>
      <c r="O656" s="33" t="str">
        <f aca="false">IF(M656="STCG",MAX(L656,0)*Assumptions!$C$11,"agg. below")</f>
        <v>agg. below</v>
      </c>
    </row>
    <row r="657" customFormat="false" ht="15" hidden="false" customHeight="false" outlineLevel="1" collapsed="false">
      <c r="A657" s="38" t="str">
        <f aca="false">TEXT(SIP_Fund3_SBISmallcap!B22,"mmm-yyyy")</f>
        <v>Jun-2026</v>
      </c>
      <c r="B657" s="39" t="n">
        <f aca="false">SIP_Fund3_SBISmallcap!B22</f>
        <v>46174</v>
      </c>
      <c r="C657" s="40" t="n">
        <f aca="false">SIP_Fund3_SBISmallcap!C22</f>
        <v>4000</v>
      </c>
      <c r="D657" s="41" t="n">
        <f aca="false">SIP_Fund3_SBISmallcap!H22</f>
        <v>179.788752966625</v>
      </c>
      <c r="E657" s="42" t="n">
        <f aca="false">SIP_Fund3_SBISmallcap!I22</f>
        <v>22.2483327460563</v>
      </c>
      <c r="F657" s="38" t="n">
        <f aca="false">Assumptions!$C$5-B657</f>
        <v>3515</v>
      </c>
      <c r="G657" s="41" t="n">
        <f aca="false">Assumptions!$D$24*(1+Assumptions!$F$24)^((Assumptions!$C$5-Assumptions!$C$4)/365)</f>
        <v>646.340264247885</v>
      </c>
      <c r="H657" s="40" t="n">
        <f aca="false">E657*G657</f>
        <v>14379.9932661609</v>
      </c>
      <c r="I657" s="48" t="n">
        <f aca="false">IF(F657&lt;365,Assumptions!$G$24,IF(F657&lt;=730,Assumptions!$H$24,Assumptions!$I$24))</f>
        <v>0</v>
      </c>
      <c r="J657" s="40" t="n">
        <f aca="false">H657*I657</f>
        <v>0</v>
      </c>
      <c r="K657" s="40" t="n">
        <f aca="false">H657-J657</f>
        <v>14379.9932661609</v>
      </c>
      <c r="L657" s="40" t="n">
        <f aca="false">K657-C657</f>
        <v>10379.9932661609</v>
      </c>
      <c r="M657" s="38" t="str">
        <f aca="false">IF(F657&gt;365,"LTCG","STCG")</f>
        <v>LTCG</v>
      </c>
      <c r="N657" s="48" t="n">
        <f aca="false">IF(M657="LTCG",Assumptions!$C$12,Assumptions!$C$11)</f>
        <v>0.125</v>
      </c>
      <c r="O657" s="38" t="str">
        <f aca="false">IF(M657="STCG",MAX(L657,0)*Assumptions!$C$11,"agg. below")</f>
        <v>agg. below</v>
      </c>
    </row>
    <row r="658" customFormat="false" ht="15" hidden="false" customHeight="false" outlineLevel="1" collapsed="false">
      <c r="A658" s="33" t="str">
        <f aca="false">TEXT(SIP_Fund3_SBISmallcap!B23,"mmm-yyyy")</f>
        <v>Jul-2026</v>
      </c>
      <c r="B658" s="34" t="n">
        <f aca="false">SIP_Fund3_SBISmallcap!B23</f>
        <v>46204</v>
      </c>
      <c r="C658" s="35" t="n">
        <f aca="false">SIP_Fund3_SBISmallcap!C23</f>
        <v>4000</v>
      </c>
      <c r="D658" s="36" t="n">
        <f aca="false">SIP_Fund3_SBISmallcap!H23</f>
        <v>181.762934426475</v>
      </c>
      <c r="E658" s="37" t="n">
        <f aca="false">SIP_Fund3_SBISmallcap!I23</f>
        <v>22.0066869663024</v>
      </c>
      <c r="F658" s="33" t="n">
        <f aca="false">Assumptions!$C$5-B658</f>
        <v>3485</v>
      </c>
      <c r="G658" s="36" t="n">
        <f aca="false">Assumptions!$D$24*(1+Assumptions!$F$24)^((Assumptions!$C$5-Assumptions!$C$4)/365)</f>
        <v>646.340264247885</v>
      </c>
      <c r="H658" s="35" t="n">
        <f aca="false">E658*G658</f>
        <v>14223.8078690204</v>
      </c>
      <c r="I658" s="47" t="n">
        <f aca="false">IF(F658&lt;365,Assumptions!$G$24,IF(F658&lt;=730,Assumptions!$H$24,Assumptions!$I$24))</f>
        <v>0</v>
      </c>
      <c r="J658" s="35" t="n">
        <f aca="false">H658*I658</f>
        <v>0</v>
      </c>
      <c r="K658" s="35" t="n">
        <f aca="false">H658-J658</f>
        <v>14223.8078690204</v>
      </c>
      <c r="L658" s="35" t="n">
        <f aca="false">K658-C658</f>
        <v>10223.8078690204</v>
      </c>
      <c r="M658" s="33" t="str">
        <f aca="false">IF(F658&gt;365,"LTCG","STCG")</f>
        <v>LTCG</v>
      </c>
      <c r="N658" s="47" t="n">
        <f aca="false">IF(M658="LTCG",Assumptions!$C$12,Assumptions!$C$11)</f>
        <v>0.125</v>
      </c>
      <c r="O658" s="33" t="str">
        <f aca="false">IF(M658="STCG",MAX(L658,0)*Assumptions!$C$11,"agg. below")</f>
        <v>agg. below</v>
      </c>
    </row>
    <row r="659" customFormat="false" ht="15" hidden="false" customHeight="false" outlineLevel="1" collapsed="false">
      <c r="A659" s="38" t="str">
        <f aca="false">TEXT(SIP_Fund3_SBISmallcap!B24,"mmm-yyyy")</f>
        <v>Aug-2026</v>
      </c>
      <c r="B659" s="39" t="n">
        <f aca="false">SIP_Fund3_SBISmallcap!B24</f>
        <v>46235</v>
      </c>
      <c r="C659" s="40" t="n">
        <f aca="false">SIP_Fund3_SBISmallcap!C24</f>
        <v>4000</v>
      </c>
      <c r="D659" s="41" t="n">
        <f aca="false">SIP_Fund3_SBISmallcap!H24</f>
        <v>183.825698251272</v>
      </c>
      <c r="E659" s="42" t="n">
        <f aca="false">SIP_Fund3_SBISmallcap!I24</f>
        <v>21.7597432679537</v>
      </c>
      <c r="F659" s="38" t="n">
        <f aca="false">Assumptions!$C$5-B659</f>
        <v>3454</v>
      </c>
      <c r="G659" s="41" t="n">
        <f aca="false">Assumptions!$D$24*(1+Assumptions!$F$24)^((Assumptions!$C$5-Assumptions!$C$4)/365)</f>
        <v>646.340264247885</v>
      </c>
      <c r="H659" s="40" t="n">
        <f aca="false">E659*G659</f>
        <v>14064.1982137753</v>
      </c>
      <c r="I659" s="48" t="n">
        <f aca="false">IF(F659&lt;365,Assumptions!$G$24,IF(F659&lt;=730,Assumptions!$H$24,Assumptions!$I$24))</f>
        <v>0</v>
      </c>
      <c r="J659" s="40" t="n">
        <f aca="false">H659*I659</f>
        <v>0</v>
      </c>
      <c r="K659" s="40" t="n">
        <f aca="false">H659-J659</f>
        <v>14064.1982137753</v>
      </c>
      <c r="L659" s="40" t="n">
        <f aca="false">K659-C659</f>
        <v>10064.1982137753</v>
      </c>
      <c r="M659" s="38" t="str">
        <f aca="false">IF(F659&gt;365,"LTCG","STCG")</f>
        <v>LTCG</v>
      </c>
      <c r="N659" s="48" t="n">
        <f aca="false">IF(M659="LTCG",Assumptions!$C$12,Assumptions!$C$11)</f>
        <v>0.125</v>
      </c>
      <c r="O659" s="38" t="str">
        <f aca="false">IF(M659="STCG",MAX(L659,0)*Assumptions!$C$11,"agg. below")</f>
        <v>agg. below</v>
      </c>
    </row>
    <row r="660" customFormat="false" ht="15" hidden="false" customHeight="false" outlineLevel="1" collapsed="false">
      <c r="A660" s="33" t="str">
        <f aca="false">TEXT(SIP_Fund3_SBISmallcap!B25,"mmm-yyyy")</f>
        <v>Sep-2026</v>
      </c>
      <c r="B660" s="34" t="n">
        <f aca="false">SIP_Fund3_SBISmallcap!B25</f>
        <v>46266</v>
      </c>
      <c r="C660" s="35" t="n">
        <f aca="false">SIP_Fund3_SBISmallcap!C25</f>
        <v>4000</v>
      </c>
      <c r="D660" s="36" t="n">
        <f aca="false">SIP_Fund3_SBISmallcap!H25</f>
        <v>185.911871659603</v>
      </c>
      <c r="E660" s="37" t="n">
        <f aca="false">SIP_Fund3_SBISmallcap!I25</f>
        <v>21.5155705996217</v>
      </c>
      <c r="F660" s="33" t="n">
        <f aca="false">Assumptions!$C$5-B660</f>
        <v>3423</v>
      </c>
      <c r="G660" s="36" t="n">
        <f aca="false">Assumptions!$D$24*(1+Assumptions!$F$24)^((Assumptions!$C$5-Assumptions!$C$4)/365)</f>
        <v>646.340264247885</v>
      </c>
      <c r="H660" s="35" t="n">
        <f aca="false">E660*G660</f>
        <v>13906.3795868035</v>
      </c>
      <c r="I660" s="47" t="n">
        <f aca="false">IF(F660&lt;365,Assumptions!$G$24,IF(F660&lt;=730,Assumptions!$H$24,Assumptions!$I$24))</f>
        <v>0</v>
      </c>
      <c r="J660" s="35" t="n">
        <f aca="false">H660*I660</f>
        <v>0</v>
      </c>
      <c r="K660" s="35" t="n">
        <f aca="false">H660-J660</f>
        <v>13906.3795868035</v>
      </c>
      <c r="L660" s="35" t="n">
        <f aca="false">K660-C660</f>
        <v>9906.37958680353</v>
      </c>
      <c r="M660" s="33" t="str">
        <f aca="false">IF(F660&gt;365,"LTCG","STCG")</f>
        <v>LTCG</v>
      </c>
      <c r="N660" s="47" t="n">
        <f aca="false">IF(M660="LTCG",Assumptions!$C$12,Assumptions!$C$11)</f>
        <v>0.125</v>
      </c>
      <c r="O660" s="33" t="str">
        <f aca="false">IF(M660="STCG",MAX(L660,0)*Assumptions!$C$11,"agg. below")</f>
        <v>agg. below</v>
      </c>
    </row>
    <row r="661" customFormat="false" ht="15" hidden="false" customHeight="false" outlineLevel="1" collapsed="false">
      <c r="A661" s="38" t="str">
        <f aca="false">TEXT(SIP_Fund3_SBISmallcap!B26,"mmm-yyyy")</f>
        <v>Oct-2026</v>
      </c>
      <c r="B661" s="39" t="n">
        <f aca="false">SIP_Fund3_SBISmallcap!B26</f>
        <v>46296</v>
      </c>
      <c r="C661" s="40" t="n">
        <f aca="false">SIP_Fund3_SBISmallcap!C26</f>
        <v>4000</v>
      </c>
      <c r="D661" s="41" t="n">
        <f aca="false">SIP_Fund3_SBISmallcap!H26</f>
        <v>187.953288400863</v>
      </c>
      <c r="E661" s="42" t="n">
        <f aca="false">SIP_Fund3_SBISmallcap!I26</f>
        <v>21.2818835681602</v>
      </c>
      <c r="F661" s="38" t="n">
        <f aca="false">Assumptions!$C$5-B661</f>
        <v>3393</v>
      </c>
      <c r="G661" s="41" t="n">
        <f aca="false">Assumptions!$D$24*(1+Assumptions!$F$24)^((Assumptions!$C$5-Assumptions!$C$4)/365)</f>
        <v>646.340264247885</v>
      </c>
      <c r="H661" s="40" t="n">
        <f aca="false">E661*G661</f>
        <v>13755.3382491374</v>
      </c>
      <c r="I661" s="48" t="n">
        <f aca="false">IF(F661&lt;365,Assumptions!$G$24,IF(F661&lt;=730,Assumptions!$H$24,Assumptions!$I$24))</f>
        <v>0</v>
      </c>
      <c r="J661" s="40" t="n">
        <f aca="false">H661*I661</f>
        <v>0</v>
      </c>
      <c r="K661" s="40" t="n">
        <f aca="false">H661-J661</f>
        <v>13755.3382491374</v>
      </c>
      <c r="L661" s="40" t="n">
        <f aca="false">K661-C661</f>
        <v>9755.33824913735</v>
      </c>
      <c r="M661" s="38" t="str">
        <f aca="false">IF(F661&gt;365,"LTCG","STCG")</f>
        <v>LTCG</v>
      </c>
      <c r="N661" s="48" t="n">
        <f aca="false">IF(M661="LTCG",Assumptions!$C$12,Assumptions!$C$11)</f>
        <v>0.125</v>
      </c>
      <c r="O661" s="38" t="str">
        <f aca="false">IF(M661="STCG",MAX(L661,0)*Assumptions!$C$11,"agg. below")</f>
        <v>agg. below</v>
      </c>
    </row>
    <row r="662" customFormat="false" ht="15" hidden="false" customHeight="false" outlineLevel="1" collapsed="false">
      <c r="A662" s="33" t="str">
        <f aca="false">TEXT(SIP_Fund3_SBISmallcap!B27,"mmm-yyyy")</f>
        <v>Nov-2026</v>
      </c>
      <c r="B662" s="34" t="n">
        <f aca="false">SIP_Fund3_SBISmallcap!B27</f>
        <v>46327</v>
      </c>
      <c r="C662" s="35" t="n">
        <f aca="false">SIP_Fund3_SBISmallcap!C27</f>
        <v>4000</v>
      </c>
      <c r="D662" s="36" t="n">
        <f aca="false">SIP_Fund3_SBISmallcap!H27</f>
        <v>190.086304382852</v>
      </c>
      <c r="E662" s="37" t="n">
        <f aca="false">SIP_Fund3_SBISmallcap!I27</f>
        <v>21.0430731082215</v>
      </c>
      <c r="F662" s="33" t="n">
        <f aca="false">Assumptions!$C$5-B662</f>
        <v>3362</v>
      </c>
      <c r="G662" s="36" t="n">
        <f aca="false">Assumptions!$D$24*(1+Assumptions!$F$24)^((Assumptions!$C$5-Assumptions!$C$4)/365)</f>
        <v>646.340264247885</v>
      </c>
      <c r="H662" s="35" t="n">
        <f aca="false">E662*G662</f>
        <v>13600.9854333554</v>
      </c>
      <c r="I662" s="47" t="n">
        <f aca="false">IF(F662&lt;365,Assumptions!$G$24,IF(F662&lt;=730,Assumptions!$H$24,Assumptions!$I$24))</f>
        <v>0</v>
      </c>
      <c r="J662" s="35" t="n">
        <f aca="false">H662*I662</f>
        <v>0</v>
      </c>
      <c r="K662" s="35" t="n">
        <f aca="false">H662-J662</f>
        <v>13600.9854333554</v>
      </c>
      <c r="L662" s="35" t="n">
        <f aca="false">K662-C662</f>
        <v>9600.98543335543</v>
      </c>
      <c r="M662" s="33" t="str">
        <f aca="false">IF(F662&gt;365,"LTCG","STCG")</f>
        <v>LTCG</v>
      </c>
      <c r="N662" s="47" t="n">
        <f aca="false">IF(M662="LTCG",Assumptions!$C$12,Assumptions!$C$11)</f>
        <v>0.125</v>
      </c>
      <c r="O662" s="33" t="str">
        <f aca="false">IF(M662="STCG",MAX(L662,0)*Assumptions!$C$11,"agg. below")</f>
        <v>agg. below</v>
      </c>
    </row>
    <row r="663" customFormat="false" ht="15" hidden="false" customHeight="false" outlineLevel="1" collapsed="false">
      <c r="A663" s="38" t="str">
        <f aca="false">TEXT(SIP_Fund3_SBISmallcap!B28,"mmm-yyyy")</f>
        <v>Dec-2026</v>
      </c>
      <c r="B663" s="39" t="n">
        <f aca="false">SIP_Fund3_SBISmallcap!B28</f>
        <v>46357</v>
      </c>
      <c r="C663" s="40" t="n">
        <f aca="false">SIP_Fund3_SBISmallcap!C28</f>
        <v>4000</v>
      </c>
      <c r="D663" s="41" t="n">
        <f aca="false">SIP_Fund3_SBISmallcap!H28</f>
        <v>192.173558739379</v>
      </c>
      <c r="E663" s="42" t="n">
        <f aca="false">SIP_Fund3_SBISmallcap!I28</f>
        <v>20.8145180129838</v>
      </c>
      <c r="F663" s="38" t="n">
        <f aca="false">Assumptions!$C$5-B663</f>
        <v>3332</v>
      </c>
      <c r="G663" s="41" t="n">
        <f aca="false">Assumptions!$D$24*(1+Assumptions!$F$24)^((Assumptions!$C$5-Assumptions!$C$4)/365)</f>
        <v>646.340264247885</v>
      </c>
      <c r="H663" s="40" t="n">
        <f aca="false">E663*G663</f>
        <v>13453.2610727043</v>
      </c>
      <c r="I663" s="48" t="n">
        <f aca="false">IF(F663&lt;365,Assumptions!$G$24,IF(F663&lt;=730,Assumptions!$H$24,Assumptions!$I$24))</f>
        <v>0</v>
      </c>
      <c r="J663" s="40" t="n">
        <f aca="false">H663*I663</f>
        <v>0</v>
      </c>
      <c r="K663" s="40" t="n">
        <f aca="false">H663-J663</f>
        <v>13453.2610727043</v>
      </c>
      <c r="L663" s="40" t="n">
        <f aca="false">K663-C663</f>
        <v>9453.26107270432</v>
      </c>
      <c r="M663" s="38" t="str">
        <f aca="false">IF(F663&gt;365,"LTCG","STCG")</f>
        <v>LTCG</v>
      </c>
      <c r="N663" s="48" t="n">
        <f aca="false">IF(M663="LTCG",Assumptions!$C$12,Assumptions!$C$11)</f>
        <v>0.125</v>
      </c>
      <c r="O663" s="38" t="str">
        <f aca="false">IF(M663="STCG",MAX(L663,0)*Assumptions!$C$11,"agg. below")</f>
        <v>agg. below</v>
      </c>
    </row>
    <row r="664" customFormat="false" ht="15" hidden="false" customHeight="false" outlineLevel="1" collapsed="false">
      <c r="A664" s="33" t="str">
        <f aca="false">TEXT(SIP_Fund3_SBISmallcap!B29,"mmm-yyyy")</f>
        <v>Jan-2027</v>
      </c>
      <c r="B664" s="34" t="n">
        <f aca="false">SIP_Fund3_SBISmallcap!B29</f>
        <v>46388</v>
      </c>
      <c r="C664" s="35" t="n">
        <f aca="false">SIP_Fund3_SBISmallcap!C29</f>
        <v>5000</v>
      </c>
      <c r="D664" s="36" t="n">
        <f aca="false">SIP_Fund3_SBISmallcap!H29</f>
        <v>194.35446909</v>
      </c>
      <c r="E664" s="37" t="n">
        <f aca="false">SIP_Fund3_SBISmallcap!I29</f>
        <v>25.7261900043299</v>
      </c>
      <c r="F664" s="33" t="n">
        <f aca="false">Assumptions!$C$5-B664</f>
        <v>3301</v>
      </c>
      <c r="G664" s="36" t="n">
        <f aca="false">Assumptions!$D$24*(1+Assumptions!$F$24)^((Assumptions!$C$5-Assumptions!$C$4)/365)</f>
        <v>646.340264247885</v>
      </c>
      <c r="H664" s="35" t="n">
        <f aca="false">E664*G664</f>
        <v>16627.8724454899</v>
      </c>
      <c r="I664" s="47" t="n">
        <f aca="false">IF(F664&lt;365,Assumptions!$G$24,IF(F664&lt;=730,Assumptions!$H$24,Assumptions!$I$24))</f>
        <v>0</v>
      </c>
      <c r="J664" s="35" t="n">
        <f aca="false">H664*I664</f>
        <v>0</v>
      </c>
      <c r="K664" s="35" t="n">
        <f aca="false">H664-J664</f>
        <v>16627.8724454899</v>
      </c>
      <c r="L664" s="35" t="n">
        <f aca="false">K664-C664</f>
        <v>11627.8724454899</v>
      </c>
      <c r="M664" s="33" t="str">
        <f aca="false">IF(F664&gt;365,"LTCG","STCG")</f>
        <v>LTCG</v>
      </c>
      <c r="N664" s="47" t="n">
        <f aca="false">IF(M664="LTCG",Assumptions!$C$12,Assumptions!$C$11)</f>
        <v>0.125</v>
      </c>
      <c r="O664" s="33" t="str">
        <f aca="false">IF(M664="STCG",MAX(L664,0)*Assumptions!$C$11,"agg. below")</f>
        <v>agg. below</v>
      </c>
    </row>
    <row r="665" customFormat="false" ht="15" hidden="false" customHeight="false" outlineLevel="1" collapsed="false">
      <c r="A665" s="38" t="str">
        <f aca="false">TEXT(SIP_Fund3_SBISmallcap!B30,"mmm-yyyy")</f>
        <v>Feb-2027</v>
      </c>
      <c r="B665" s="39" t="n">
        <f aca="false">SIP_Fund3_SBISmallcap!B30</f>
        <v>46419</v>
      </c>
      <c r="C665" s="40" t="n">
        <f aca="false">SIP_Fund3_SBISmallcap!C30</f>
        <v>5000</v>
      </c>
      <c r="D665" s="41" t="n">
        <f aca="false">SIP_Fund3_SBISmallcap!H30</f>
        <v>196.56012982766</v>
      </c>
      <c r="E665" s="42" t="n">
        <f aca="false">SIP_Fund3_SBISmallcap!I30</f>
        <v>25.4375086360794</v>
      </c>
      <c r="F665" s="38" t="n">
        <f aca="false">Assumptions!$C$5-B665</f>
        <v>3270</v>
      </c>
      <c r="G665" s="41" t="n">
        <f aca="false">Assumptions!$D$24*(1+Assumptions!$F$24)^((Assumptions!$C$5-Assumptions!$C$4)/365)</f>
        <v>646.340264247885</v>
      </c>
      <c r="H665" s="40" t="n">
        <f aca="false">E665*G665</f>
        <v>16441.2860536514</v>
      </c>
      <c r="I665" s="48" t="n">
        <f aca="false">IF(F665&lt;365,Assumptions!$G$24,IF(F665&lt;=730,Assumptions!$H$24,Assumptions!$I$24))</f>
        <v>0</v>
      </c>
      <c r="J665" s="40" t="n">
        <f aca="false">H665*I665</f>
        <v>0</v>
      </c>
      <c r="K665" s="40" t="n">
        <f aca="false">H665-J665</f>
        <v>16441.2860536514</v>
      </c>
      <c r="L665" s="40" t="n">
        <f aca="false">K665-C665</f>
        <v>11441.2860536514</v>
      </c>
      <c r="M665" s="38" t="str">
        <f aca="false">IF(F665&gt;365,"LTCG","STCG")</f>
        <v>LTCG</v>
      </c>
      <c r="N665" s="48" t="n">
        <f aca="false">IF(M665="LTCG",Assumptions!$C$12,Assumptions!$C$11)</f>
        <v>0.125</v>
      </c>
      <c r="O665" s="38" t="str">
        <f aca="false">IF(M665="STCG",MAX(L665,0)*Assumptions!$C$11,"agg. below")</f>
        <v>agg. below</v>
      </c>
    </row>
    <row r="666" customFormat="false" ht="15" hidden="false" customHeight="false" outlineLevel="1" collapsed="false">
      <c r="A666" s="33" t="str">
        <f aca="false">TEXT(SIP_Fund3_SBISmallcap!B31,"mmm-yyyy")</f>
        <v>Mar-2027</v>
      </c>
      <c r="B666" s="34" t="n">
        <f aca="false">SIP_Fund3_SBISmallcap!B31</f>
        <v>46447</v>
      </c>
      <c r="C666" s="35" t="n">
        <f aca="false">SIP_Fund3_SBISmallcap!C31</f>
        <v>5000</v>
      </c>
      <c r="D666" s="36" t="n">
        <f aca="false">SIP_Fund3_SBISmallcap!H31</f>
        <v>198.573846585254</v>
      </c>
      <c r="E666" s="37" t="n">
        <f aca="false">SIP_Fund3_SBISmallcap!I31</f>
        <v>25.179549502524</v>
      </c>
      <c r="F666" s="33" t="n">
        <f aca="false">Assumptions!$C$5-B666</f>
        <v>3242</v>
      </c>
      <c r="G666" s="36" t="n">
        <f aca="false">Assumptions!$D$24*(1+Assumptions!$F$24)^((Assumptions!$C$5-Assumptions!$C$4)/365)</f>
        <v>646.340264247885</v>
      </c>
      <c r="H666" s="35" t="n">
        <f aca="false">E666*G666</f>
        <v>16274.5566791041</v>
      </c>
      <c r="I666" s="47" t="n">
        <f aca="false">IF(F666&lt;365,Assumptions!$G$24,IF(F666&lt;=730,Assumptions!$H$24,Assumptions!$I$24))</f>
        <v>0</v>
      </c>
      <c r="J666" s="35" t="n">
        <f aca="false">H666*I666</f>
        <v>0</v>
      </c>
      <c r="K666" s="35" t="n">
        <f aca="false">H666-J666</f>
        <v>16274.5566791041</v>
      </c>
      <c r="L666" s="35" t="n">
        <f aca="false">K666-C666</f>
        <v>11274.5566791041</v>
      </c>
      <c r="M666" s="33" t="str">
        <f aca="false">IF(F666&gt;365,"LTCG","STCG")</f>
        <v>LTCG</v>
      </c>
      <c r="N666" s="47" t="n">
        <f aca="false">IF(M666="LTCG",Assumptions!$C$12,Assumptions!$C$11)</f>
        <v>0.125</v>
      </c>
      <c r="O666" s="33" t="str">
        <f aca="false">IF(M666="STCG",MAX(L666,0)*Assumptions!$C$11,"agg. below")</f>
        <v>agg. below</v>
      </c>
    </row>
    <row r="667" customFormat="false" ht="15" hidden="false" customHeight="false" outlineLevel="1" collapsed="false">
      <c r="A667" s="38" t="str">
        <f aca="false">TEXT(SIP_Fund3_SBISmallcap!B32,"mmm-yyyy")</f>
        <v>Apr-2027</v>
      </c>
      <c r="B667" s="39" t="n">
        <f aca="false">SIP_Fund3_SBISmallcap!B32</f>
        <v>46478</v>
      </c>
      <c r="C667" s="40" t="n">
        <f aca="false">SIP_Fund3_SBISmallcap!C32</f>
        <v>5000</v>
      </c>
      <c r="D667" s="41" t="n">
        <f aca="false">SIP_Fund3_SBISmallcap!H32</f>
        <v>200.827391558981</v>
      </c>
      <c r="E667" s="42" t="n">
        <f aca="false">SIP_Fund3_SBISmallcap!I32</f>
        <v>24.8970021528739</v>
      </c>
      <c r="F667" s="38" t="n">
        <f aca="false">Assumptions!$C$5-B667</f>
        <v>3211</v>
      </c>
      <c r="G667" s="41" t="n">
        <f aca="false">Assumptions!$D$24*(1+Assumptions!$F$24)^((Assumptions!$C$5-Assumptions!$C$4)/365)</f>
        <v>646.340264247885</v>
      </c>
      <c r="H667" s="40" t="n">
        <f aca="false">E667*G667</f>
        <v>16091.9349504687</v>
      </c>
      <c r="I667" s="48" t="n">
        <f aca="false">IF(F667&lt;365,Assumptions!$G$24,IF(F667&lt;=730,Assumptions!$H$24,Assumptions!$I$24))</f>
        <v>0</v>
      </c>
      <c r="J667" s="40" t="n">
        <f aca="false">H667*I667</f>
        <v>0</v>
      </c>
      <c r="K667" s="40" t="n">
        <f aca="false">H667-J667</f>
        <v>16091.9349504687</v>
      </c>
      <c r="L667" s="40" t="n">
        <f aca="false">K667-C667</f>
        <v>11091.9349504687</v>
      </c>
      <c r="M667" s="38" t="str">
        <f aca="false">IF(F667&gt;365,"LTCG","STCG")</f>
        <v>LTCG</v>
      </c>
      <c r="N667" s="48" t="n">
        <f aca="false">IF(M667="LTCG",Assumptions!$C$12,Assumptions!$C$11)</f>
        <v>0.125</v>
      </c>
      <c r="O667" s="38" t="str">
        <f aca="false">IF(M667="STCG",MAX(L667,0)*Assumptions!$C$11,"agg. below")</f>
        <v>agg. below</v>
      </c>
    </row>
    <row r="668" customFormat="false" ht="15" hidden="false" customHeight="false" outlineLevel="1" collapsed="false">
      <c r="A668" s="33" t="str">
        <f aca="false">TEXT(SIP_Fund3_SBISmallcap!B33,"mmm-yyyy")</f>
        <v>May-2027</v>
      </c>
      <c r="B668" s="34" t="n">
        <f aca="false">SIP_Fund3_SBISmallcap!B33</f>
        <v>46508</v>
      </c>
      <c r="C668" s="35" t="n">
        <f aca="false">SIP_Fund3_SBISmallcap!C33</f>
        <v>5000</v>
      </c>
      <c r="D668" s="36" t="n">
        <f aca="false">SIP_Fund3_SBISmallcap!H33</f>
        <v>203.032589083875</v>
      </c>
      <c r="E668" s="37" t="n">
        <f aca="false">SIP_Fund3_SBISmallcap!I33</f>
        <v>24.626588384461</v>
      </c>
      <c r="F668" s="33" t="n">
        <f aca="false">Assumptions!$C$5-B668</f>
        <v>3181</v>
      </c>
      <c r="G668" s="36" t="n">
        <f aca="false">Assumptions!$D$24*(1+Assumptions!$F$24)^((Assumptions!$C$5-Assumptions!$C$4)/365)</f>
        <v>646.340264247885</v>
      </c>
      <c r="H668" s="35" t="n">
        <f aca="false">E668*G668</f>
        <v>15917.1556439364</v>
      </c>
      <c r="I668" s="47" t="n">
        <f aca="false">IF(F668&lt;365,Assumptions!$G$24,IF(F668&lt;=730,Assumptions!$H$24,Assumptions!$I$24))</f>
        <v>0</v>
      </c>
      <c r="J668" s="35" t="n">
        <f aca="false">H668*I668</f>
        <v>0</v>
      </c>
      <c r="K668" s="35" t="n">
        <f aca="false">H668-J668</f>
        <v>15917.1556439364</v>
      </c>
      <c r="L668" s="35" t="n">
        <f aca="false">K668-C668</f>
        <v>10917.1556439364</v>
      </c>
      <c r="M668" s="33" t="str">
        <f aca="false">IF(F668&gt;365,"LTCG","STCG")</f>
        <v>LTCG</v>
      </c>
      <c r="N668" s="47" t="n">
        <f aca="false">IF(M668="LTCG",Assumptions!$C$12,Assumptions!$C$11)</f>
        <v>0.125</v>
      </c>
      <c r="O668" s="33" t="str">
        <f aca="false">IF(M668="STCG",MAX(L668,0)*Assumptions!$C$11,"agg. below")</f>
        <v>agg. below</v>
      </c>
    </row>
    <row r="669" customFormat="false" ht="15" hidden="false" customHeight="false" outlineLevel="1" collapsed="false">
      <c r="A669" s="38" t="str">
        <f aca="false">TEXT(SIP_Fund3_SBISmallcap!B34,"mmm-yyyy")</f>
        <v>Jun-2027</v>
      </c>
      <c r="B669" s="39" t="n">
        <f aca="false">SIP_Fund3_SBISmallcap!B34</f>
        <v>46539</v>
      </c>
      <c r="C669" s="40" t="n">
        <f aca="false">SIP_Fund3_SBISmallcap!C34</f>
        <v>5000</v>
      </c>
      <c r="D669" s="41" t="n">
        <f aca="false">SIP_Fund3_SBISmallcap!H34</f>
        <v>205.336734763183</v>
      </c>
      <c r="E669" s="42" t="n">
        <f aca="false">SIP_Fund3_SBISmallcap!I34</f>
        <v>24.3502459789602</v>
      </c>
      <c r="F669" s="38" t="n">
        <f aca="false">Assumptions!$C$5-B669</f>
        <v>3150</v>
      </c>
      <c r="G669" s="41" t="n">
        <f aca="false">Assumptions!$D$24*(1+Assumptions!$F$24)^((Assumptions!$C$5-Assumptions!$C$4)/365)</f>
        <v>646.340264247885</v>
      </c>
      <c r="H669" s="40" t="n">
        <f aca="false">E669*G669</f>
        <v>15738.5444205421</v>
      </c>
      <c r="I669" s="48" t="n">
        <f aca="false">IF(F669&lt;365,Assumptions!$G$24,IF(F669&lt;=730,Assumptions!$H$24,Assumptions!$I$24))</f>
        <v>0</v>
      </c>
      <c r="J669" s="40" t="n">
        <f aca="false">H669*I669</f>
        <v>0</v>
      </c>
      <c r="K669" s="40" t="n">
        <f aca="false">H669-J669</f>
        <v>15738.5444205421</v>
      </c>
      <c r="L669" s="40" t="n">
        <f aca="false">K669-C669</f>
        <v>10738.5444205421</v>
      </c>
      <c r="M669" s="38" t="str">
        <f aca="false">IF(F669&gt;365,"LTCG","STCG")</f>
        <v>LTCG</v>
      </c>
      <c r="N669" s="48" t="n">
        <f aca="false">IF(M669="LTCG",Assumptions!$C$12,Assumptions!$C$11)</f>
        <v>0.125</v>
      </c>
      <c r="O669" s="38" t="str">
        <f aca="false">IF(M669="STCG",MAX(L669,0)*Assumptions!$C$11,"agg. below")</f>
        <v>agg. below</v>
      </c>
    </row>
    <row r="670" customFormat="false" ht="15" hidden="false" customHeight="false" outlineLevel="1" collapsed="false">
      <c r="A670" s="33" t="str">
        <f aca="false">TEXT(SIP_Fund3_SBISmallcap!B35,"mmm-yyyy")</f>
        <v>Jul-2027</v>
      </c>
      <c r="B670" s="34" t="n">
        <f aca="false">SIP_Fund3_SBISmallcap!B35</f>
        <v>46569</v>
      </c>
      <c r="C670" s="35" t="n">
        <f aca="false">SIP_Fund3_SBISmallcap!C35</f>
        <v>5000</v>
      </c>
      <c r="D670" s="36" t="n">
        <f aca="false">SIP_Fund3_SBISmallcap!H35</f>
        <v>207.591447408478</v>
      </c>
      <c r="E670" s="37" t="n">
        <f aca="false">SIP_Fund3_SBISmallcap!I35</f>
        <v>24.085770692477</v>
      </c>
      <c r="F670" s="33" t="n">
        <f aca="false">Assumptions!$C$5-B670</f>
        <v>3120</v>
      </c>
      <c r="G670" s="36" t="n">
        <f aca="false">Assumptions!$D$24*(1+Assumptions!$F$24)^((Assumptions!$C$5-Assumptions!$C$4)/365)</f>
        <v>646.340264247885</v>
      </c>
      <c r="H670" s="35" t="n">
        <f aca="false">E670*G670</f>
        <v>15567.6033939896</v>
      </c>
      <c r="I670" s="47" t="n">
        <f aca="false">IF(F670&lt;365,Assumptions!$G$24,IF(F670&lt;=730,Assumptions!$H$24,Assumptions!$I$24))</f>
        <v>0</v>
      </c>
      <c r="J670" s="35" t="n">
        <f aca="false">H670*I670</f>
        <v>0</v>
      </c>
      <c r="K670" s="35" t="n">
        <f aca="false">H670-J670</f>
        <v>15567.6033939896</v>
      </c>
      <c r="L670" s="35" t="n">
        <f aca="false">K670-C670</f>
        <v>10567.6033939896</v>
      </c>
      <c r="M670" s="33" t="str">
        <f aca="false">IF(F670&gt;365,"LTCG","STCG")</f>
        <v>LTCG</v>
      </c>
      <c r="N670" s="47" t="n">
        <f aca="false">IF(M670="LTCG",Assumptions!$C$12,Assumptions!$C$11)</f>
        <v>0.125</v>
      </c>
      <c r="O670" s="33" t="str">
        <f aca="false">IF(M670="STCG",MAX(L670,0)*Assumptions!$C$11,"agg. below")</f>
        <v>agg. below</v>
      </c>
    </row>
    <row r="671" customFormat="false" ht="15" hidden="false" customHeight="false" outlineLevel="1" collapsed="false">
      <c r="A671" s="38" t="str">
        <f aca="false">TEXT(SIP_Fund3_SBISmallcap!B36,"mmm-yyyy")</f>
        <v>Aug-2027</v>
      </c>
      <c r="B671" s="39" t="n">
        <f aca="false">SIP_Fund3_SBISmallcap!B36</f>
        <v>46600</v>
      </c>
      <c r="C671" s="40" t="n">
        <f aca="false">SIP_Fund3_SBISmallcap!C36</f>
        <v>5000</v>
      </c>
      <c r="D671" s="41" t="n">
        <f aca="false">SIP_Fund3_SBISmallcap!H36</f>
        <v>209.947329972778</v>
      </c>
      <c r="E671" s="42" t="n">
        <f aca="false">SIP_Fund3_SBISmallcap!I36</f>
        <v>23.8154969660643</v>
      </c>
      <c r="F671" s="38" t="n">
        <f aca="false">Assumptions!$C$5-B671</f>
        <v>3089</v>
      </c>
      <c r="G671" s="41" t="n">
        <f aca="false">Assumptions!$D$24*(1+Assumptions!$F$24)^((Assumptions!$C$5-Assumptions!$C$4)/365)</f>
        <v>646.340264247885</v>
      </c>
      <c r="H671" s="40" t="n">
        <f aca="false">E671*G671</f>
        <v>15392.9146022407</v>
      </c>
      <c r="I671" s="48" t="n">
        <f aca="false">IF(F671&lt;365,Assumptions!$G$24,IF(F671&lt;=730,Assumptions!$H$24,Assumptions!$I$24))</f>
        <v>0</v>
      </c>
      <c r="J671" s="40" t="n">
        <f aca="false">H671*I671</f>
        <v>0</v>
      </c>
      <c r="K671" s="40" t="n">
        <f aca="false">H671-J671</f>
        <v>15392.9146022407</v>
      </c>
      <c r="L671" s="40" t="n">
        <f aca="false">K671-C671</f>
        <v>10392.9146022407</v>
      </c>
      <c r="M671" s="38" t="str">
        <f aca="false">IF(F671&gt;365,"LTCG","STCG")</f>
        <v>LTCG</v>
      </c>
      <c r="N671" s="48" t="n">
        <f aca="false">IF(M671="LTCG",Assumptions!$C$12,Assumptions!$C$11)</f>
        <v>0.125</v>
      </c>
      <c r="O671" s="38" t="str">
        <f aca="false">IF(M671="STCG",MAX(L671,0)*Assumptions!$C$11,"agg. below")</f>
        <v>agg. below</v>
      </c>
    </row>
    <row r="672" customFormat="false" ht="15" hidden="false" customHeight="false" outlineLevel="1" collapsed="false">
      <c r="A672" s="33" t="str">
        <f aca="false">TEXT(SIP_Fund3_SBISmallcap!B37,"mmm-yyyy")</f>
        <v>Sep-2027</v>
      </c>
      <c r="B672" s="34" t="n">
        <f aca="false">SIP_Fund3_SBISmallcap!B37</f>
        <v>46631</v>
      </c>
      <c r="C672" s="35" t="n">
        <f aca="false">SIP_Fund3_SBISmallcap!C37</f>
        <v>5000</v>
      </c>
      <c r="D672" s="36" t="n">
        <f aca="false">SIP_Fund3_SBISmallcap!H37</f>
        <v>212.329948622432</v>
      </c>
      <c r="E672" s="37" t="n">
        <f aca="false">SIP_Fund3_SBISmallcap!I37</f>
        <v>23.548256062978</v>
      </c>
      <c r="F672" s="33" t="n">
        <f aca="false">Assumptions!$C$5-B672</f>
        <v>3058</v>
      </c>
      <c r="G672" s="36" t="n">
        <f aca="false">Assumptions!$D$24*(1+Assumptions!$F$24)^((Assumptions!$C$5-Assumptions!$C$4)/365)</f>
        <v>646.340264247885</v>
      </c>
      <c r="H672" s="35" t="n">
        <f aca="false">E672*G672</f>
        <v>15220.1860463221</v>
      </c>
      <c r="I672" s="47" t="n">
        <f aca="false">IF(F672&lt;365,Assumptions!$G$24,IF(F672&lt;=730,Assumptions!$H$24,Assumptions!$I$24))</f>
        <v>0</v>
      </c>
      <c r="J672" s="35" t="n">
        <f aca="false">H672*I672</f>
        <v>0</v>
      </c>
      <c r="K672" s="35" t="n">
        <f aca="false">H672-J672</f>
        <v>15220.1860463221</v>
      </c>
      <c r="L672" s="35" t="n">
        <f aca="false">K672-C672</f>
        <v>10220.1860463221</v>
      </c>
      <c r="M672" s="33" t="str">
        <f aca="false">IF(F672&gt;365,"LTCG","STCG")</f>
        <v>LTCG</v>
      </c>
      <c r="N672" s="47" t="n">
        <f aca="false">IF(M672="LTCG",Assumptions!$C$12,Assumptions!$C$11)</f>
        <v>0.125</v>
      </c>
      <c r="O672" s="33" t="str">
        <f aca="false">IF(M672="STCG",MAX(L672,0)*Assumptions!$C$11,"agg. below")</f>
        <v>agg. below</v>
      </c>
    </row>
    <row r="673" customFormat="false" ht="15" hidden="false" customHeight="false" outlineLevel="1" collapsed="false">
      <c r="A673" s="38" t="str">
        <f aca="false">TEXT(SIP_Fund3_SBISmallcap!B38,"mmm-yyyy")</f>
        <v>Oct-2027</v>
      </c>
      <c r="B673" s="39" t="n">
        <f aca="false">SIP_Fund3_SBISmallcap!B38</f>
        <v>46661</v>
      </c>
      <c r="C673" s="40" t="n">
        <f aca="false">SIP_Fund3_SBISmallcap!C38</f>
        <v>5000</v>
      </c>
      <c r="D673" s="41" t="n">
        <f aca="false">SIP_Fund3_SBISmallcap!H38</f>
        <v>214.661450682626</v>
      </c>
      <c r="E673" s="42" t="n">
        <f aca="false">SIP_Fund3_SBISmallcap!I38</f>
        <v>23.2924914282464</v>
      </c>
      <c r="F673" s="38" t="n">
        <f aca="false">Assumptions!$C$5-B673</f>
        <v>3028</v>
      </c>
      <c r="G673" s="41" t="n">
        <f aca="false">Assumptions!$D$24*(1+Assumptions!$F$24)^((Assumptions!$C$5-Assumptions!$C$4)/365)</f>
        <v>646.340264247885</v>
      </c>
      <c r="H673" s="40" t="n">
        <f aca="false">E673*G673</f>
        <v>15054.8750647244</v>
      </c>
      <c r="I673" s="48" t="n">
        <f aca="false">IF(F673&lt;365,Assumptions!$G$24,IF(F673&lt;=730,Assumptions!$H$24,Assumptions!$I$24))</f>
        <v>0</v>
      </c>
      <c r="J673" s="40" t="n">
        <f aca="false">H673*I673</f>
        <v>0</v>
      </c>
      <c r="K673" s="40" t="n">
        <f aca="false">H673-J673</f>
        <v>15054.8750647244</v>
      </c>
      <c r="L673" s="40" t="n">
        <f aca="false">K673-C673</f>
        <v>10054.8750647244</v>
      </c>
      <c r="M673" s="38" t="str">
        <f aca="false">IF(F673&gt;365,"LTCG","STCG")</f>
        <v>LTCG</v>
      </c>
      <c r="N673" s="48" t="n">
        <f aca="false">IF(M673="LTCG",Assumptions!$C$12,Assumptions!$C$11)</f>
        <v>0.125</v>
      </c>
      <c r="O673" s="38" t="str">
        <f aca="false">IF(M673="STCG",MAX(L673,0)*Assumptions!$C$11,"agg. below")</f>
        <v>agg. below</v>
      </c>
    </row>
    <row r="674" customFormat="false" ht="15" hidden="false" customHeight="false" outlineLevel="1" collapsed="false">
      <c r="A674" s="33" t="str">
        <f aca="false">TEXT(SIP_Fund3_SBISmallcap!B39,"mmm-yyyy")</f>
        <v>Nov-2027</v>
      </c>
      <c r="B674" s="34" t="n">
        <f aca="false">SIP_Fund3_SBISmallcap!B39</f>
        <v>46692</v>
      </c>
      <c r="C674" s="35" t="n">
        <f aca="false">SIP_Fund3_SBISmallcap!C39</f>
        <v>5000</v>
      </c>
      <c r="D674" s="36" t="n">
        <f aca="false">SIP_Fund3_SBISmallcap!H39</f>
        <v>217.097568235656</v>
      </c>
      <c r="E674" s="37" t="n">
        <f aca="false">SIP_Fund3_SBISmallcap!I39</f>
        <v>23.0311193286725</v>
      </c>
      <c r="F674" s="33" t="n">
        <f aca="false">Assumptions!$C$5-B674</f>
        <v>2997</v>
      </c>
      <c r="G674" s="36" t="n">
        <f aca="false">Assumptions!$D$24*(1+Assumptions!$F$24)^((Assumptions!$C$5-Assumptions!$C$4)/365)</f>
        <v>646.340264247885</v>
      </c>
      <c r="H674" s="35" t="n">
        <f aca="false">E674*G674</f>
        <v>14885.9397528187</v>
      </c>
      <c r="I674" s="47" t="n">
        <f aca="false">IF(F674&lt;365,Assumptions!$G$24,IF(F674&lt;=730,Assumptions!$H$24,Assumptions!$I$24))</f>
        <v>0</v>
      </c>
      <c r="J674" s="35" t="n">
        <f aca="false">H674*I674</f>
        <v>0</v>
      </c>
      <c r="K674" s="35" t="n">
        <f aca="false">H674-J674</f>
        <v>14885.9397528187</v>
      </c>
      <c r="L674" s="35" t="n">
        <f aca="false">K674-C674</f>
        <v>9885.93975281874</v>
      </c>
      <c r="M674" s="33" t="str">
        <f aca="false">IF(F674&gt;365,"LTCG","STCG")</f>
        <v>LTCG</v>
      </c>
      <c r="N674" s="47" t="n">
        <f aca="false">IF(M674="LTCG",Assumptions!$C$12,Assumptions!$C$11)</f>
        <v>0.125</v>
      </c>
      <c r="O674" s="33" t="str">
        <f aca="false">IF(M674="STCG",MAX(L674,0)*Assumptions!$C$11,"agg. below")</f>
        <v>agg. below</v>
      </c>
    </row>
    <row r="675" customFormat="false" ht="15" hidden="false" customHeight="false" outlineLevel="1" collapsed="false">
      <c r="A675" s="38" t="str">
        <f aca="false">TEXT(SIP_Fund3_SBISmallcap!B40,"mmm-yyyy")</f>
        <v>Dec-2027</v>
      </c>
      <c r="B675" s="39" t="n">
        <f aca="false">SIP_Fund3_SBISmallcap!B40</f>
        <v>46722</v>
      </c>
      <c r="C675" s="40" t="n">
        <f aca="false">SIP_Fund3_SBISmallcap!C40</f>
        <v>5000</v>
      </c>
      <c r="D675" s="41" t="n">
        <f aca="false">SIP_Fund3_SBISmallcap!H40</f>
        <v>219.481421436244</v>
      </c>
      <c r="E675" s="42" t="n">
        <f aca="false">SIP_Fund3_SBISmallcap!I40</f>
        <v>22.7809714703001</v>
      </c>
      <c r="F675" s="38" t="n">
        <f aca="false">Assumptions!$C$5-B675</f>
        <v>2967</v>
      </c>
      <c r="G675" s="41" t="n">
        <f aca="false">Assumptions!$D$24*(1+Assumptions!$F$24)^((Assumptions!$C$5-Assumptions!$C$4)/365)</f>
        <v>646.340264247885</v>
      </c>
      <c r="H675" s="40" t="n">
        <f aca="false">E675*G675</f>
        <v>14724.2591199373</v>
      </c>
      <c r="I675" s="48" t="n">
        <f aca="false">IF(F675&lt;365,Assumptions!$G$24,IF(F675&lt;=730,Assumptions!$H$24,Assumptions!$I$24))</f>
        <v>0</v>
      </c>
      <c r="J675" s="40" t="n">
        <f aca="false">H675*I675</f>
        <v>0</v>
      </c>
      <c r="K675" s="40" t="n">
        <f aca="false">H675-J675</f>
        <v>14724.2591199373</v>
      </c>
      <c r="L675" s="40" t="n">
        <f aca="false">K675-C675</f>
        <v>9724.2591199373</v>
      </c>
      <c r="M675" s="38" t="str">
        <f aca="false">IF(F675&gt;365,"LTCG","STCG")</f>
        <v>LTCG</v>
      </c>
      <c r="N675" s="48" t="n">
        <f aca="false">IF(M675="LTCG",Assumptions!$C$12,Assumptions!$C$11)</f>
        <v>0.125</v>
      </c>
      <c r="O675" s="38" t="str">
        <f aca="false">IF(M675="STCG",MAX(L675,0)*Assumptions!$C$11,"agg. below")</f>
        <v>agg. below</v>
      </c>
    </row>
    <row r="676" customFormat="false" ht="15" hidden="false" customHeight="false" outlineLevel="1" collapsed="false">
      <c r="A676" s="33" t="str">
        <f aca="false">TEXT(SIP_Fund3_SBISmallcap!B41,"mmm-yyyy")</f>
        <v>Jan-2028</v>
      </c>
      <c r="B676" s="34" t="n">
        <f aca="false">SIP_Fund3_SBISmallcap!B41</f>
        <v>46753</v>
      </c>
      <c r="C676" s="35" t="n">
        <f aca="false">SIP_Fund3_SBISmallcap!C41</f>
        <v>6000</v>
      </c>
      <c r="D676" s="36" t="n">
        <f aca="false">SIP_Fund3_SBISmallcap!H41</f>
        <v>221.972239147689</v>
      </c>
      <c r="E676" s="37" t="n">
        <f aca="false">SIP_Fund3_SBISmallcap!I41</f>
        <v>27.0304071492828</v>
      </c>
      <c r="F676" s="33" t="n">
        <f aca="false">Assumptions!$C$5-B676</f>
        <v>2936</v>
      </c>
      <c r="G676" s="36" t="n">
        <f aca="false">Assumptions!$D$24*(1+Assumptions!$F$24)^((Assumptions!$C$5-Assumptions!$C$4)/365)</f>
        <v>646.340264247885</v>
      </c>
      <c r="H676" s="35" t="n">
        <f aca="false">E676*G676</f>
        <v>17470.8404995953</v>
      </c>
      <c r="I676" s="47" t="n">
        <f aca="false">IF(F676&lt;365,Assumptions!$G$24,IF(F676&lt;=730,Assumptions!$H$24,Assumptions!$I$24))</f>
        <v>0</v>
      </c>
      <c r="J676" s="35" t="n">
        <f aca="false">H676*I676</f>
        <v>0</v>
      </c>
      <c r="K676" s="35" t="n">
        <f aca="false">H676-J676</f>
        <v>17470.8404995953</v>
      </c>
      <c r="L676" s="35" t="n">
        <f aca="false">K676-C676</f>
        <v>11470.8404995953</v>
      </c>
      <c r="M676" s="33" t="str">
        <f aca="false">IF(F676&gt;365,"LTCG","STCG")</f>
        <v>LTCG</v>
      </c>
      <c r="N676" s="47" t="n">
        <f aca="false">IF(M676="LTCG",Assumptions!$C$12,Assumptions!$C$11)</f>
        <v>0.125</v>
      </c>
      <c r="O676" s="33" t="str">
        <f aca="false">IF(M676="STCG",MAX(L676,0)*Assumptions!$C$11,"agg. below")</f>
        <v>agg. below</v>
      </c>
    </row>
    <row r="677" customFormat="false" ht="15" hidden="false" customHeight="false" outlineLevel="1" collapsed="false">
      <c r="A677" s="38" t="str">
        <f aca="false">TEXT(SIP_Fund3_SBISmallcap!B42,"mmm-yyyy")</f>
        <v>Feb-2028</v>
      </c>
      <c r="B677" s="39" t="n">
        <f aca="false">SIP_Fund3_SBISmallcap!B42</f>
        <v>46784</v>
      </c>
      <c r="C677" s="40" t="n">
        <f aca="false">SIP_Fund3_SBISmallcap!C42</f>
        <v>6000</v>
      </c>
      <c r="D677" s="41" t="n">
        <f aca="false">SIP_Fund3_SBISmallcap!H42</f>
        <v>224.491324276171</v>
      </c>
      <c r="E677" s="42" t="n">
        <f aca="false">SIP_Fund3_SBISmallcap!I42</f>
        <v>26.7270907655155</v>
      </c>
      <c r="F677" s="38" t="n">
        <f aca="false">Assumptions!$C$5-B677</f>
        <v>2905</v>
      </c>
      <c r="G677" s="41" t="n">
        <f aca="false">Assumptions!$D$24*(1+Assumptions!$F$24)^((Assumptions!$C$5-Assumptions!$C$4)/365)</f>
        <v>646.340264247885</v>
      </c>
      <c r="H677" s="40" t="n">
        <f aca="false">E677*G677</f>
        <v>17274.7949079605</v>
      </c>
      <c r="I677" s="48" t="n">
        <f aca="false">IF(F677&lt;365,Assumptions!$G$24,IF(F677&lt;=730,Assumptions!$H$24,Assumptions!$I$24))</f>
        <v>0</v>
      </c>
      <c r="J677" s="40" t="n">
        <f aca="false">H677*I677</f>
        <v>0</v>
      </c>
      <c r="K677" s="40" t="n">
        <f aca="false">H677-J677</f>
        <v>17274.7949079605</v>
      </c>
      <c r="L677" s="40" t="n">
        <f aca="false">K677-C677</f>
        <v>11274.7949079605</v>
      </c>
      <c r="M677" s="38" t="str">
        <f aca="false">IF(F677&gt;365,"LTCG","STCG")</f>
        <v>LTCG</v>
      </c>
      <c r="N677" s="48" t="n">
        <f aca="false">IF(M677="LTCG",Assumptions!$C$12,Assumptions!$C$11)</f>
        <v>0.125</v>
      </c>
      <c r="O677" s="38" t="str">
        <f aca="false">IF(M677="STCG",MAX(L677,0)*Assumptions!$C$11,"agg. below")</f>
        <v>agg. below</v>
      </c>
    </row>
    <row r="678" customFormat="false" ht="15" hidden="false" customHeight="false" outlineLevel="1" collapsed="false">
      <c r="A678" s="33" t="str">
        <f aca="false">TEXT(SIP_Fund3_SBISmallcap!B43,"mmm-yyyy")</f>
        <v>Mar-2028</v>
      </c>
      <c r="B678" s="34" t="n">
        <f aca="false">SIP_Fund3_SBISmallcap!B43</f>
        <v>46813</v>
      </c>
      <c r="C678" s="35" t="n">
        <f aca="false">SIP_Fund3_SBISmallcap!C43</f>
        <v>6000</v>
      </c>
      <c r="D678" s="36" t="n">
        <f aca="false">SIP_Fund3_SBISmallcap!H43</f>
        <v>226.873762595471</v>
      </c>
      <c r="E678" s="37" t="n">
        <f aca="false">SIP_Fund3_SBISmallcap!I43</f>
        <v>26.4464252338352</v>
      </c>
      <c r="F678" s="33" t="n">
        <f aca="false">Assumptions!$C$5-B678</f>
        <v>2876</v>
      </c>
      <c r="G678" s="36" t="n">
        <f aca="false">Assumptions!$D$24*(1+Assumptions!$F$24)^((Assumptions!$C$5-Assumptions!$C$4)/365)</f>
        <v>646.340264247885</v>
      </c>
      <c r="H678" s="35" t="n">
        <f aca="false">E678*G678</f>
        <v>17093.389474049</v>
      </c>
      <c r="I678" s="47" t="n">
        <f aca="false">IF(F678&lt;365,Assumptions!$G$24,IF(F678&lt;=730,Assumptions!$H$24,Assumptions!$I$24))</f>
        <v>0</v>
      </c>
      <c r="J678" s="35" t="n">
        <f aca="false">H678*I678</f>
        <v>0</v>
      </c>
      <c r="K678" s="35" t="n">
        <f aca="false">H678-J678</f>
        <v>17093.389474049</v>
      </c>
      <c r="L678" s="35" t="n">
        <f aca="false">K678-C678</f>
        <v>11093.389474049</v>
      </c>
      <c r="M678" s="33" t="str">
        <f aca="false">IF(F678&gt;365,"LTCG","STCG")</f>
        <v>LTCG</v>
      </c>
      <c r="N678" s="47" t="n">
        <f aca="false">IF(M678="LTCG",Assumptions!$C$12,Assumptions!$C$11)</f>
        <v>0.125</v>
      </c>
      <c r="O678" s="33" t="str">
        <f aca="false">IF(M678="STCG",MAX(L678,0)*Assumptions!$C$11,"agg. below")</f>
        <v>agg. below</v>
      </c>
    </row>
    <row r="679" customFormat="false" ht="15" hidden="false" customHeight="false" outlineLevel="1" collapsed="false">
      <c r="A679" s="38" t="str">
        <f aca="false">TEXT(SIP_Fund3_SBISmallcap!B44,"mmm-yyyy")</f>
        <v>Apr-2028</v>
      </c>
      <c r="B679" s="39" t="n">
        <f aca="false">SIP_Fund3_SBISmallcap!B44</f>
        <v>46844</v>
      </c>
      <c r="C679" s="40" t="n">
        <f aca="false">SIP_Fund3_SBISmallcap!C44</f>
        <v>6000</v>
      </c>
      <c r="D679" s="41" t="n">
        <f aca="false">SIP_Fund3_SBISmallcap!H44</f>
        <v>229.448473395306</v>
      </c>
      <c r="E679" s="42" t="n">
        <f aca="false">SIP_Fund3_SBISmallcap!I44</f>
        <v>26.1496618879782</v>
      </c>
      <c r="F679" s="38" t="n">
        <f aca="false">Assumptions!$C$5-B679</f>
        <v>2845</v>
      </c>
      <c r="G679" s="41" t="n">
        <f aca="false">Assumptions!$D$24*(1+Assumptions!$F$24)^((Assumptions!$C$5-Assumptions!$C$4)/365)</f>
        <v>646.340264247885</v>
      </c>
      <c r="H679" s="40" t="n">
        <f aca="false">E679*G679</f>
        <v>16901.5793746687</v>
      </c>
      <c r="I679" s="48" t="n">
        <f aca="false">IF(F679&lt;365,Assumptions!$G$24,IF(F679&lt;=730,Assumptions!$H$24,Assumptions!$I$24))</f>
        <v>0</v>
      </c>
      <c r="J679" s="40" t="n">
        <f aca="false">H679*I679</f>
        <v>0</v>
      </c>
      <c r="K679" s="40" t="n">
        <f aca="false">H679-J679</f>
        <v>16901.5793746687</v>
      </c>
      <c r="L679" s="40" t="n">
        <f aca="false">K679-C679</f>
        <v>10901.5793746687</v>
      </c>
      <c r="M679" s="38" t="str">
        <f aca="false">IF(F679&gt;365,"LTCG","STCG")</f>
        <v>LTCG</v>
      </c>
      <c r="N679" s="48" t="n">
        <f aca="false">IF(M679="LTCG",Assumptions!$C$12,Assumptions!$C$11)</f>
        <v>0.125</v>
      </c>
      <c r="O679" s="38" t="str">
        <f aca="false">IF(M679="STCG",MAX(L679,0)*Assumptions!$C$11,"agg. below")</f>
        <v>agg. below</v>
      </c>
    </row>
    <row r="680" customFormat="false" ht="15" hidden="false" customHeight="false" outlineLevel="1" collapsed="false">
      <c r="A680" s="33" t="str">
        <f aca="false">TEXT(SIP_Fund3_SBISmallcap!B45,"mmm-yyyy")</f>
        <v>May-2028</v>
      </c>
      <c r="B680" s="34" t="n">
        <f aca="false">SIP_Fund3_SBISmallcap!B45</f>
        <v>46874</v>
      </c>
      <c r="C680" s="35" t="n">
        <f aca="false">SIP_Fund3_SBISmallcap!C45</f>
        <v>6000</v>
      </c>
      <c r="D680" s="36" t="n">
        <f aca="false">SIP_Fund3_SBISmallcap!H45</f>
        <v>231.967946469642</v>
      </c>
      <c r="E680" s="37" t="n">
        <f aca="false">SIP_Fund3_SBISmallcap!I45</f>
        <v>25.8656426084508</v>
      </c>
      <c r="F680" s="33" t="n">
        <f aca="false">Assumptions!$C$5-B680</f>
        <v>2815</v>
      </c>
      <c r="G680" s="36" t="n">
        <f aca="false">Assumptions!$D$24*(1+Assumptions!$F$24)^((Assumptions!$C$5-Assumptions!$C$4)/365)</f>
        <v>646.340264247885</v>
      </c>
      <c r="H680" s="35" t="n">
        <f aca="false">E680*G680</f>
        <v>16718.0062784874</v>
      </c>
      <c r="I680" s="47" t="n">
        <f aca="false">IF(F680&lt;365,Assumptions!$G$24,IF(F680&lt;=730,Assumptions!$H$24,Assumptions!$I$24))</f>
        <v>0</v>
      </c>
      <c r="J680" s="35" t="n">
        <f aca="false">H680*I680</f>
        <v>0</v>
      </c>
      <c r="K680" s="35" t="n">
        <f aca="false">H680-J680</f>
        <v>16718.0062784874</v>
      </c>
      <c r="L680" s="35" t="n">
        <f aca="false">K680-C680</f>
        <v>10718.0062784874</v>
      </c>
      <c r="M680" s="33" t="str">
        <f aca="false">IF(F680&gt;365,"LTCG","STCG")</f>
        <v>LTCG</v>
      </c>
      <c r="N680" s="47" t="n">
        <f aca="false">IF(M680="LTCG",Assumptions!$C$12,Assumptions!$C$11)</f>
        <v>0.125</v>
      </c>
      <c r="O680" s="33" t="str">
        <f aca="false">IF(M680="STCG",MAX(L680,0)*Assumptions!$C$11,"agg. below")</f>
        <v>agg. below</v>
      </c>
    </row>
    <row r="681" customFormat="false" ht="15" hidden="false" customHeight="false" outlineLevel="1" collapsed="false">
      <c r="A681" s="38" t="str">
        <f aca="false">TEXT(SIP_Fund3_SBISmallcap!B46,"mmm-yyyy")</f>
        <v>Jun-2028</v>
      </c>
      <c r="B681" s="39" t="n">
        <f aca="false">SIP_Fund3_SBISmallcap!B46</f>
        <v>46905</v>
      </c>
      <c r="C681" s="40" t="n">
        <f aca="false">SIP_Fund3_SBISmallcap!C46</f>
        <v>6000</v>
      </c>
      <c r="D681" s="41" t="n">
        <f aca="false">SIP_Fund3_SBISmallcap!H46</f>
        <v>234.60046937647</v>
      </c>
      <c r="E681" s="42" t="n">
        <f aca="false">SIP_Fund3_SBISmallcap!I46</f>
        <v>25.5753964003015</v>
      </c>
      <c r="F681" s="38" t="n">
        <f aca="false">Assumptions!$C$5-B681</f>
        <v>2784</v>
      </c>
      <c r="G681" s="41" t="n">
        <f aca="false">Assumptions!$D$24*(1+Assumptions!$F$24)^((Assumptions!$C$5-Assumptions!$C$4)/365)</f>
        <v>646.340264247885</v>
      </c>
      <c r="H681" s="40" t="n">
        <f aca="false">E681*G681</f>
        <v>16530.4084676153</v>
      </c>
      <c r="I681" s="48" t="n">
        <f aca="false">IF(F681&lt;365,Assumptions!$G$24,IF(F681&lt;=730,Assumptions!$H$24,Assumptions!$I$24))</f>
        <v>0</v>
      </c>
      <c r="J681" s="40" t="n">
        <f aca="false">H681*I681</f>
        <v>0</v>
      </c>
      <c r="K681" s="40" t="n">
        <f aca="false">H681-J681</f>
        <v>16530.4084676153</v>
      </c>
      <c r="L681" s="40" t="n">
        <f aca="false">K681-C681</f>
        <v>10530.4084676153</v>
      </c>
      <c r="M681" s="38" t="str">
        <f aca="false">IF(F681&gt;365,"LTCG","STCG")</f>
        <v>LTCG</v>
      </c>
      <c r="N681" s="48" t="n">
        <f aca="false">IF(M681="LTCG",Assumptions!$C$12,Assumptions!$C$11)</f>
        <v>0.125</v>
      </c>
      <c r="O681" s="38" t="str">
        <f aca="false">IF(M681="STCG",MAX(L681,0)*Assumptions!$C$11,"agg. below")</f>
        <v>agg. below</v>
      </c>
    </row>
    <row r="682" customFormat="false" ht="15" hidden="false" customHeight="false" outlineLevel="1" collapsed="false">
      <c r="A682" s="33" t="str">
        <f aca="false">TEXT(SIP_Fund3_SBISmallcap!B47,"mmm-yyyy")</f>
        <v>Jul-2028</v>
      </c>
      <c r="B682" s="34" t="n">
        <f aca="false">SIP_Fund3_SBISmallcap!B47</f>
        <v>46935</v>
      </c>
      <c r="C682" s="35" t="n">
        <f aca="false">SIP_Fund3_SBISmallcap!C47</f>
        <v>6000</v>
      </c>
      <c r="D682" s="36" t="n">
        <f aca="false">SIP_Fund3_SBISmallcap!H47</f>
        <v>237.176514259551</v>
      </c>
      <c r="E682" s="37" t="n">
        <f aca="false">SIP_Fund3_SBISmallcap!I47</f>
        <v>25.2976143895681</v>
      </c>
      <c r="F682" s="33" t="n">
        <f aca="false">Assumptions!$C$5-B682</f>
        <v>2754</v>
      </c>
      <c r="G682" s="36" t="n">
        <f aca="false">Assumptions!$D$24*(1+Assumptions!$F$24)^((Assumptions!$C$5-Assumptions!$C$4)/365)</f>
        <v>646.340264247885</v>
      </c>
      <c r="H682" s="35" t="n">
        <f aca="false">E682*G682</f>
        <v>16350.8667693945</v>
      </c>
      <c r="I682" s="47" t="n">
        <f aca="false">IF(F682&lt;365,Assumptions!$G$24,IF(F682&lt;=730,Assumptions!$H$24,Assumptions!$I$24))</f>
        <v>0</v>
      </c>
      <c r="J682" s="35" t="n">
        <f aca="false">H682*I682</f>
        <v>0</v>
      </c>
      <c r="K682" s="35" t="n">
        <f aca="false">H682-J682</f>
        <v>16350.8667693945</v>
      </c>
      <c r="L682" s="35" t="n">
        <f aca="false">K682-C682</f>
        <v>10350.8667693945</v>
      </c>
      <c r="M682" s="33" t="str">
        <f aca="false">IF(F682&gt;365,"LTCG","STCG")</f>
        <v>LTCG</v>
      </c>
      <c r="N682" s="47" t="n">
        <f aca="false">IF(M682="LTCG",Assumptions!$C$12,Assumptions!$C$11)</f>
        <v>0.125</v>
      </c>
      <c r="O682" s="33" t="str">
        <f aca="false">IF(M682="STCG",MAX(L682,0)*Assumptions!$C$11,"agg. below")</f>
        <v>agg. below</v>
      </c>
    </row>
    <row r="683" customFormat="false" ht="15" hidden="false" customHeight="false" outlineLevel="1" collapsed="false">
      <c r="A683" s="38" t="str">
        <f aca="false">TEXT(SIP_Fund3_SBISmallcap!B48,"mmm-yyyy")</f>
        <v>Aug-2028</v>
      </c>
      <c r="B683" s="39" t="n">
        <f aca="false">SIP_Fund3_SBISmallcap!B48</f>
        <v>46966</v>
      </c>
      <c r="C683" s="40" t="n">
        <f aca="false">SIP_Fund3_SBISmallcap!C48</f>
        <v>6000</v>
      </c>
      <c r="D683" s="41" t="n">
        <f aca="false">SIP_Fund3_SBISmallcap!H48</f>
        <v>239.868147376333</v>
      </c>
      <c r="E683" s="42" t="n">
        <f aca="false">SIP_Fund3_SBISmallcap!I48</f>
        <v>25.0137421980689</v>
      </c>
      <c r="F683" s="38" t="n">
        <f aca="false">Assumptions!$C$5-B683</f>
        <v>2723</v>
      </c>
      <c r="G683" s="41" t="n">
        <f aca="false">Assumptions!$D$24*(1+Assumptions!$F$24)^((Assumptions!$C$5-Assumptions!$C$4)/365)</f>
        <v>646.340264247885</v>
      </c>
      <c r="H683" s="40" t="n">
        <f aca="false">E683*G683</f>
        <v>16167.3887421283</v>
      </c>
      <c r="I683" s="48" t="n">
        <f aca="false">IF(F683&lt;365,Assumptions!$G$24,IF(F683&lt;=730,Assumptions!$H$24,Assumptions!$I$24))</f>
        <v>0</v>
      </c>
      <c r="J683" s="40" t="n">
        <f aca="false">H683*I683</f>
        <v>0</v>
      </c>
      <c r="K683" s="40" t="n">
        <f aca="false">H683-J683</f>
        <v>16167.3887421283</v>
      </c>
      <c r="L683" s="40" t="n">
        <f aca="false">K683-C683</f>
        <v>10167.3887421283</v>
      </c>
      <c r="M683" s="38" t="str">
        <f aca="false">IF(F683&gt;365,"LTCG","STCG")</f>
        <v>LTCG</v>
      </c>
      <c r="N683" s="48" t="n">
        <f aca="false">IF(M683="LTCG",Assumptions!$C$12,Assumptions!$C$11)</f>
        <v>0.125</v>
      </c>
      <c r="O683" s="38" t="str">
        <f aca="false">IF(M683="STCG",MAX(L683,0)*Assumptions!$C$11,"agg. below")</f>
        <v>agg. below</v>
      </c>
    </row>
    <row r="684" customFormat="false" ht="15" hidden="false" customHeight="false" outlineLevel="1" collapsed="false">
      <c r="A684" s="33" t="str">
        <f aca="false">TEXT(SIP_Fund3_SBISmallcap!B49,"mmm-yyyy")</f>
        <v>Sep-2028</v>
      </c>
      <c r="B684" s="34" t="n">
        <f aca="false">SIP_Fund3_SBISmallcap!B49</f>
        <v>46997</v>
      </c>
      <c r="C684" s="35" t="n">
        <f aca="false">SIP_Fund3_SBISmallcap!C49</f>
        <v>6000</v>
      </c>
      <c r="D684" s="36" t="n">
        <f aca="false">SIP_Fund3_SBISmallcap!H49</f>
        <v>242.590326893792</v>
      </c>
      <c r="E684" s="37" t="n">
        <f aca="false">SIP_Fund3_SBISmallcap!I49</f>
        <v>24.7330554223906</v>
      </c>
      <c r="F684" s="33" t="n">
        <f aca="false">Assumptions!$C$5-B684</f>
        <v>2692</v>
      </c>
      <c r="G684" s="36" t="n">
        <f aca="false">Assumptions!$D$24*(1+Assumptions!$F$24)^((Assumptions!$C$5-Assumptions!$C$4)/365)</f>
        <v>646.340264247885</v>
      </c>
      <c r="H684" s="35" t="n">
        <f aca="false">E684*G684</f>
        <v>15985.9695773655</v>
      </c>
      <c r="I684" s="47" t="n">
        <f aca="false">IF(F684&lt;365,Assumptions!$G$24,IF(F684&lt;=730,Assumptions!$H$24,Assumptions!$I$24))</f>
        <v>0</v>
      </c>
      <c r="J684" s="35" t="n">
        <f aca="false">H684*I684</f>
        <v>0</v>
      </c>
      <c r="K684" s="35" t="n">
        <f aca="false">H684-J684</f>
        <v>15985.9695773655</v>
      </c>
      <c r="L684" s="35" t="n">
        <f aca="false">K684-C684</f>
        <v>9985.96957736551</v>
      </c>
      <c r="M684" s="33" t="str">
        <f aca="false">IF(F684&gt;365,"LTCG","STCG")</f>
        <v>LTCG</v>
      </c>
      <c r="N684" s="47" t="n">
        <f aca="false">IF(M684="LTCG",Assumptions!$C$12,Assumptions!$C$11)</f>
        <v>0.125</v>
      </c>
      <c r="O684" s="33" t="str">
        <f aca="false">IF(M684="STCG",MAX(L684,0)*Assumptions!$C$11,"agg. below")</f>
        <v>agg. below</v>
      </c>
    </row>
    <row r="685" customFormat="false" ht="15" hidden="false" customHeight="false" outlineLevel="1" collapsed="false">
      <c r="A685" s="38" t="str">
        <f aca="false">TEXT(SIP_Fund3_SBISmallcap!B50,"mmm-yyyy")</f>
        <v>Oct-2028</v>
      </c>
      <c r="B685" s="39" t="n">
        <f aca="false">SIP_Fund3_SBISmallcap!B50</f>
        <v>47027</v>
      </c>
      <c r="C685" s="40" t="n">
        <f aca="false">SIP_Fund3_SBISmallcap!C50</f>
        <v>6000</v>
      </c>
      <c r="D685" s="41" t="n">
        <f aca="false">SIP_Fund3_SBISmallcap!H50</f>
        <v>245.254104898757</v>
      </c>
      <c r="E685" s="42" t="n">
        <f aca="false">SIP_Fund3_SBISmallcap!I50</f>
        <v>24.464422328331</v>
      </c>
      <c r="F685" s="38" t="n">
        <f aca="false">Assumptions!$C$5-B685</f>
        <v>2662</v>
      </c>
      <c r="G685" s="41" t="n">
        <f aca="false">Assumptions!$D$24*(1+Assumptions!$F$24)^((Assumptions!$C$5-Assumptions!$C$4)/365)</f>
        <v>646.340264247885</v>
      </c>
      <c r="H685" s="40" t="n">
        <f aca="false">E685*G685</f>
        <v>15812.3411923653</v>
      </c>
      <c r="I685" s="48" t="n">
        <f aca="false">IF(F685&lt;365,Assumptions!$G$24,IF(F685&lt;=730,Assumptions!$H$24,Assumptions!$I$24))</f>
        <v>0</v>
      </c>
      <c r="J685" s="40" t="n">
        <f aca="false">H685*I685</f>
        <v>0</v>
      </c>
      <c r="K685" s="40" t="n">
        <f aca="false">H685-J685</f>
        <v>15812.3411923653</v>
      </c>
      <c r="L685" s="40" t="n">
        <f aca="false">K685-C685</f>
        <v>9812.34119236533</v>
      </c>
      <c r="M685" s="38" t="str">
        <f aca="false">IF(F685&gt;365,"LTCG","STCG")</f>
        <v>LTCG</v>
      </c>
      <c r="N685" s="48" t="n">
        <f aca="false">IF(M685="LTCG",Assumptions!$C$12,Assumptions!$C$11)</f>
        <v>0.125</v>
      </c>
      <c r="O685" s="38" t="str">
        <f aca="false">IF(M685="STCG",MAX(L685,0)*Assumptions!$C$11,"agg. below")</f>
        <v>agg. below</v>
      </c>
    </row>
    <row r="686" customFormat="false" ht="15" hidden="false" customHeight="false" outlineLevel="1" collapsed="false">
      <c r="A686" s="33" t="str">
        <f aca="false">TEXT(SIP_Fund3_SBISmallcap!B51,"mmm-yyyy")</f>
        <v>Nov-2028</v>
      </c>
      <c r="B686" s="34" t="n">
        <f aca="false">SIP_Fund3_SBISmallcap!B51</f>
        <v>47058</v>
      </c>
      <c r="C686" s="35" t="n">
        <f aca="false">SIP_Fund3_SBISmallcap!C51</f>
        <v>6000</v>
      </c>
      <c r="D686" s="36" t="n">
        <f aca="false">SIP_Fund3_SBISmallcap!H51</f>
        <v>248.03740776006</v>
      </c>
      <c r="E686" s="37" t="n">
        <f aca="false">SIP_Fund3_SBISmallcap!I51</f>
        <v>24.189899637252</v>
      </c>
      <c r="F686" s="33" t="n">
        <f aca="false">Assumptions!$C$5-B686</f>
        <v>2631</v>
      </c>
      <c r="G686" s="36" t="n">
        <f aca="false">Assumptions!$D$24*(1+Assumptions!$F$24)^((Assumptions!$C$5-Assumptions!$C$4)/365)</f>
        <v>646.340264247885</v>
      </c>
      <c r="H686" s="35" t="n">
        <f aca="false">E686*G686</f>
        <v>15634.9061236713</v>
      </c>
      <c r="I686" s="47" t="n">
        <f aca="false">IF(F686&lt;365,Assumptions!$G$24,IF(F686&lt;=730,Assumptions!$H$24,Assumptions!$I$24))</f>
        <v>0</v>
      </c>
      <c r="J686" s="35" t="n">
        <f aca="false">H686*I686</f>
        <v>0</v>
      </c>
      <c r="K686" s="35" t="n">
        <f aca="false">H686-J686</f>
        <v>15634.9061236713</v>
      </c>
      <c r="L686" s="35" t="n">
        <f aca="false">K686-C686</f>
        <v>9634.90612367125</v>
      </c>
      <c r="M686" s="33" t="str">
        <f aca="false">IF(F686&gt;365,"LTCG","STCG")</f>
        <v>LTCG</v>
      </c>
      <c r="N686" s="47" t="n">
        <f aca="false">IF(M686="LTCG",Assumptions!$C$12,Assumptions!$C$11)</f>
        <v>0.125</v>
      </c>
      <c r="O686" s="33" t="str">
        <f aca="false">IF(M686="STCG",MAX(L686,0)*Assumptions!$C$11,"agg. below")</f>
        <v>agg. below</v>
      </c>
    </row>
    <row r="687" customFormat="false" ht="15" hidden="false" customHeight="false" outlineLevel="1" collapsed="false">
      <c r="A687" s="38" t="str">
        <f aca="false">TEXT(SIP_Fund3_SBISmallcap!B52,"mmm-yyyy")</f>
        <v>Dec-2028</v>
      </c>
      <c r="B687" s="39" t="n">
        <f aca="false">SIP_Fund3_SBISmallcap!B52</f>
        <v>47088</v>
      </c>
      <c r="C687" s="40" t="n">
        <f aca="false">SIP_Fund3_SBISmallcap!C52</f>
        <v>6000</v>
      </c>
      <c r="D687" s="41" t="n">
        <f aca="false">SIP_Fund3_SBISmallcap!H52</f>
        <v>250.760997771501</v>
      </c>
      <c r="E687" s="42" t="n">
        <f aca="false">SIP_Fund3_SBISmallcap!I52</f>
        <v>23.9271659202255</v>
      </c>
      <c r="F687" s="38" t="n">
        <f aca="false">Assumptions!$C$5-B687</f>
        <v>2601</v>
      </c>
      <c r="G687" s="41" t="n">
        <f aca="false">Assumptions!$D$24*(1+Assumptions!$F$24)^((Assumptions!$C$5-Assumptions!$C$4)/365)</f>
        <v>646.340264247885</v>
      </c>
      <c r="H687" s="40" t="n">
        <f aca="false">E687*G687</f>
        <v>15465.0907435816</v>
      </c>
      <c r="I687" s="48" t="n">
        <f aca="false">IF(F687&lt;365,Assumptions!$G$24,IF(F687&lt;=730,Assumptions!$H$24,Assumptions!$I$24))</f>
        <v>0</v>
      </c>
      <c r="J687" s="40" t="n">
        <f aca="false">H687*I687</f>
        <v>0</v>
      </c>
      <c r="K687" s="40" t="n">
        <f aca="false">H687-J687</f>
        <v>15465.0907435816</v>
      </c>
      <c r="L687" s="40" t="n">
        <f aca="false">K687-C687</f>
        <v>9465.09074358156</v>
      </c>
      <c r="M687" s="38" t="str">
        <f aca="false">IF(F687&gt;365,"LTCG","STCG")</f>
        <v>LTCG</v>
      </c>
      <c r="N687" s="48" t="n">
        <f aca="false">IF(M687="LTCG",Assumptions!$C$12,Assumptions!$C$11)</f>
        <v>0.125</v>
      </c>
      <c r="O687" s="38" t="str">
        <f aca="false">IF(M687="STCG",MAX(L687,0)*Assumptions!$C$11,"agg. below")</f>
        <v>agg. below</v>
      </c>
    </row>
    <row r="688" customFormat="false" ht="15" hidden="false" customHeight="false" outlineLevel="1" collapsed="false">
      <c r="A688" s="33" t="str">
        <f aca="false">TEXT(SIP_Fund3_SBISmallcap!B53,"mmm-yyyy")</f>
        <v>Jan-2029</v>
      </c>
      <c r="B688" s="34" t="n">
        <f aca="false">SIP_Fund3_SBISmallcap!B53</f>
        <v>47119</v>
      </c>
      <c r="C688" s="35" t="n">
        <f aca="false">SIP_Fund3_SBISmallcap!C53</f>
        <v>7000</v>
      </c>
      <c r="D688" s="36" t="n">
        <f aca="false">SIP_Fund3_SBISmallcap!H53</f>
        <v>253.606796429544</v>
      </c>
      <c r="E688" s="37" t="n">
        <f aca="false">SIP_Fund3_SBISmallcap!I53</f>
        <v>27.6017839369881</v>
      </c>
      <c r="F688" s="33" t="n">
        <f aca="false">Assumptions!$C$5-B688</f>
        <v>2570</v>
      </c>
      <c r="G688" s="36" t="n">
        <f aca="false">Assumptions!$D$24*(1+Assumptions!$F$24)^((Assumptions!$C$5-Assumptions!$C$4)/365)</f>
        <v>646.340264247885</v>
      </c>
      <c r="H688" s="35" t="n">
        <f aca="false">E688*G688</f>
        <v>17840.1443235459</v>
      </c>
      <c r="I688" s="47" t="n">
        <f aca="false">IF(F688&lt;365,Assumptions!$G$24,IF(F688&lt;=730,Assumptions!$H$24,Assumptions!$I$24))</f>
        <v>0</v>
      </c>
      <c r="J688" s="35" t="n">
        <f aca="false">H688*I688</f>
        <v>0</v>
      </c>
      <c r="K688" s="35" t="n">
        <f aca="false">H688-J688</f>
        <v>17840.1443235459</v>
      </c>
      <c r="L688" s="35" t="n">
        <f aca="false">K688-C688</f>
        <v>10840.1443235459</v>
      </c>
      <c r="M688" s="33" t="str">
        <f aca="false">IF(F688&gt;365,"LTCG","STCG")</f>
        <v>LTCG</v>
      </c>
      <c r="N688" s="47" t="n">
        <f aca="false">IF(M688="LTCG",Assumptions!$C$12,Assumptions!$C$11)</f>
        <v>0.125</v>
      </c>
      <c r="O688" s="33" t="str">
        <f aca="false">IF(M688="STCG",MAX(L688,0)*Assumptions!$C$11,"agg. below")</f>
        <v>agg. below</v>
      </c>
    </row>
    <row r="689" customFormat="false" ht="15" hidden="false" customHeight="false" outlineLevel="1" collapsed="false">
      <c r="A689" s="38" t="str">
        <f aca="false">TEXT(SIP_Fund3_SBISmallcap!B54,"mmm-yyyy")</f>
        <v>Feb-2029</v>
      </c>
      <c r="B689" s="39" t="n">
        <f aca="false">SIP_Fund3_SBISmallcap!B54</f>
        <v>47150</v>
      </c>
      <c r="C689" s="40" t="n">
        <f aca="false">SIP_Fund3_SBISmallcap!C54</f>
        <v>7000</v>
      </c>
      <c r="D689" s="41" t="n">
        <f aca="false">SIP_Fund3_SBISmallcap!H54</f>
        <v>256.484891058947</v>
      </c>
      <c r="E689" s="42" t="n">
        <f aca="false">SIP_Fund3_SBISmallcap!I54</f>
        <v>27.292055961266</v>
      </c>
      <c r="F689" s="38" t="n">
        <f aca="false">Assumptions!$C$5-B689</f>
        <v>2539</v>
      </c>
      <c r="G689" s="41" t="n">
        <f aca="false">Assumptions!$D$24*(1+Assumptions!$F$24)^((Assumptions!$C$5-Assumptions!$C$4)/365)</f>
        <v>646.340264247885</v>
      </c>
      <c r="H689" s="40" t="n">
        <f aca="false">E689*G689</f>
        <v>17639.9546618727</v>
      </c>
      <c r="I689" s="48" t="n">
        <f aca="false">IF(F689&lt;365,Assumptions!$G$24,IF(F689&lt;=730,Assumptions!$H$24,Assumptions!$I$24))</f>
        <v>0</v>
      </c>
      <c r="J689" s="40" t="n">
        <f aca="false">H689*I689</f>
        <v>0</v>
      </c>
      <c r="K689" s="40" t="n">
        <f aca="false">H689-J689</f>
        <v>17639.9546618727</v>
      </c>
      <c r="L689" s="40" t="n">
        <f aca="false">K689-C689</f>
        <v>10639.9546618727</v>
      </c>
      <c r="M689" s="38" t="str">
        <f aca="false">IF(F689&gt;365,"LTCG","STCG")</f>
        <v>LTCG</v>
      </c>
      <c r="N689" s="48" t="n">
        <f aca="false">IF(M689="LTCG",Assumptions!$C$12,Assumptions!$C$11)</f>
        <v>0.125</v>
      </c>
      <c r="O689" s="38" t="str">
        <f aca="false">IF(M689="STCG",MAX(L689,0)*Assumptions!$C$11,"agg. below")</f>
        <v>agg. below</v>
      </c>
    </row>
    <row r="690" customFormat="false" ht="15" hidden="false" customHeight="false" outlineLevel="1" collapsed="false">
      <c r="A690" s="33" t="str">
        <f aca="false">TEXT(SIP_Fund3_SBISmallcap!B55,"mmm-yyyy")</f>
        <v>Mar-2029</v>
      </c>
      <c r="B690" s="34" t="n">
        <f aca="false">SIP_Fund3_SBISmallcap!B55</f>
        <v>47178</v>
      </c>
      <c r="C690" s="35" t="n">
        <f aca="false">SIP_Fund3_SBISmallcap!C55</f>
        <v>7000</v>
      </c>
      <c r="D690" s="36" t="n">
        <f aca="false">SIP_Fund3_SBISmallcap!H55</f>
        <v>259.112524260288</v>
      </c>
      <c r="E690" s="37" t="n">
        <f aca="false">SIP_Fund3_SBISmallcap!I55</f>
        <v>27.0152900558688</v>
      </c>
      <c r="F690" s="33" t="n">
        <f aca="false">Assumptions!$C$5-B690</f>
        <v>2511</v>
      </c>
      <c r="G690" s="36" t="n">
        <f aca="false">Assumptions!$D$24*(1+Assumptions!$F$24)^((Assumptions!$C$5-Assumptions!$C$4)/365)</f>
        <v>646.340264247885</v>
      </c>
      <c r="H690" s="35" t="n">
        <f aca="false">E690*G690</f>
        <v>17461.0697134435</v>
      </c>
      <c r="I690" s="47" t="n">
        <f aca="false">IF(F690&lt;365,Assumptions!$G$24,IF(F690&lt;=730,Assumptions!$H$24,Assumptions!$I$24))</f>
        <v>0</v>
      </c>
      <c r="J690" s="35" t="n">
        <f aca="false">H690*I690</f>
        <v>0</v>
      </c>
      <c r="K690" s="35" t="n">
        <f aca="false">H690-J690</f>
        <v>17461.0697134435</v>
      </c>
      <c r="L690" s="35" t="n">
        <f aca="false">K690-C690</f>
        <v>10461.0697134435</v>
      </c>
      <c r="M690" s="33" t="str">
        <f aca="false">IF(F690&gt;365,"LTCG","STCG")</f>
        <v>LTCG</v>
      </c>
      <c r="N690" s="47" t="n">
        <f aca="false">IF(M690="LTCG",Assumptions!$C$12,Assumptions!$C$11)</f>
        <v>0.125</v>
      </c>
      <c r="O690" s="33" t="str">
        <f aca="false">IF(M690="STCG",MAX(L690,0)*Assumptions!$C$11,"agg. below")</f>
        <v>agg. below</v>
      </c>
    </row>
    <row r="691" customFormat="false" ht="15" hidden="false" customHeight="false" outlineLevel="1" collapsed="false">
      <c r="A691" s="38" t="str">
        <f aca="false">TEXT(SIP_Fund3_SBISmallcap!B56,"mmm-yyyy")</f>
        <v>Apr-2029</v>
      </c>
      <c r="B691" s="39" t="n">
        <f aca="false">SIP_Fund3_SBISmallcap!B56</f>
        <v>47209</v>
      </c>
      <c r="C691" s="40" t="n">
        <f aca="false">SIP_Fund3_SBISmallcap!C56</f>
        <v>7000</v>
      </c>
      <c r="D691" s="41" t="n">
        <f aca="false">SIP_Fund3_SBISmallcap!H56</f>
        <v>262.053101464779</v>
      </c>
      <c r="E691" s="42" t="n">
        <f aca="false">SIP_Fund3_SBISmallcap!I56</f>
        <v>26.7121433055844</v>
      </c>
      <c r="F691" s="38" t="n">
        <f aca="false">Assumptions!$C$5-B691</f>
        <v>2480</v>
      </c>
      <c r="G691" s="41" t="n">
        <f aca="false">Assumptions!$D$24*(1+Assumptions!$F$24)^((Assumptions!$C$5-Assumptions!$C$4)/365)</f>
        <v>646.340264247885</v>
      </c>
      <c r="H691" s="40" t="n">
        <f aca="false">E691*G691</f>
        <v>17265.1337627588</v>
      </c>
      <c r="I691" s="48" t="n">
        <f aca="false">IF(F691&lt;365,Assumptions!$G$24,IF(F691&lt;=730,Assumptions!$H$24,Assumptions!$I$24))</f>
        <v>0</v>
      </c>
      <c r="J691" s="40" t="n">
        <f aca="false">H691*I691</f>
        <v>0</v>
      </c>
      <c r="K691" s="40" t="n">
        <f aca="false">H691-J691</f>
        <v>17265.1337627588</v>
      </c>
      <c r="L691" s="40" t="n">
        <f aca="false">K691-C691</f>
        <v>10265.1337627588</v>
      </c>
      <c r="M691" s="38" t="str">
        <f aca="false">IF(F691&gt;365,"LTCG","STCG")</f>
        <v>LTCG</v>
      </c>
      <c r="N691" s="48" t="n">
        <f aca="false">IF(M691="LTCG",Assumptions!$C$12,Assumptions!$C$11)</f>
        <v>0.125</v>
      </c>
      <c r="O691" s="38" t="str">
        <f aca="false">IF(M691="STCG",MAX(L691,0)*Assumptions!$C$11,"agg. below")</f>
        <v>agg. below</v>
      </c>
    </row>
    <row r="692" customFormat="false" ht="15" hidden="false" customHeight="false" outlineLevel="1" collapsed="false">
      <c r="A692" s="33" t="str">
        <f aca="false">TEXT(SIP_Fund3_SBISmallcap!B57,"mmm-yyyy")</f>
        <v>May-2029</v>
      </c>
      <c r="B692" s="34" t="n">
        <f aca="false">SIP_Fund3_SBISmallcap!B57</f>
        <v>47239</v>
      </c>
      <c r="C692" s="35" t="n">
        <f aca="false">SIP_Fund3_SBISmallcap!C57</f>
        <v>7000</v>
      </c>
      <c r="D692" s="36" t="n">
        <f aca="false">SIP_Fund3_SBISmallcap!H57</f>
        <v>264.930591662978</v>
      </c>
      <c r="E692" s="37" t="n">
        <f aca="false">SIP_Fund3_SBISmallcap!I57</f>
        <v>26.4220147475638</v>
      </c>
      <c r="F692" s="33" t="n">
        <f aca="false">Assumptions!$C$5-B692</f>
        <v>2450</v>
      </c>
      <c r="G692" s="36" t="n">
        <f aca="false">Assumptions!$D$24*(1+Assumptions!$F$24)^((Assumptions!$C$5-Assumptions!$C$4)/365)</f>
        <v>646.340264247885</v>
      </c>
      <c r="H692" s="35" t="n">
        <f aca="false">E692*G692</f>
        <v>17077.6119939019</v>
      </c>
      <c r="I692" s="47" t="n">
        <f aca="false">IF(F692&lt;365,Assumptions!$G$24,IF(F692&lt;=730,Assumptions!$H$24,Assumptions!$I$24))</f>
        <v>0</v>
      </c>
      <c r="J692" s="35" t="n">
        <f aca="false">H692*I692</f>
        <v>0</v>
      </c>
      <c r="K692" s="35" t="n">
        <f aca="false">H692-J692</f>
        <v>17077.6119939019</v>
      </c>
      <c r="L692" s="35" t="n">
        <f aca="false">K692-C692</f>
        <v>10077.6119939019</v>
      </c>
      <c r="M692" s="33" t="str">
        <f aca="false">IF(F692&gt;365,"LTCG","STCG")</f>
        <v>LTCG</v>
      </c>
      <c r="N692" s="47" t="n">
        <f aca="false">IF(M692="LTCG",Assumptions!$C$12,Assumptions!$C$11)</f>
        <v>0.125</v>
      </c>
      <c r="O692" s="33" t="str">
        <f aca="false">IF(M692="STCG",MAX(L692,0)*Assumptions!$C$11,"agg. below")</f>
        <v>agg. below</v>
      </c>
    </row>
    <row r="693" customFormat="false" ht="15" hidden="false" customHeight="false" outlineLevel="1" collapsed="false">
      <c r="A693" s="38" t="str">
        <f aca="false">TEXT(SIP_Fund3_SBISmallcap!B58,"mmm-yyyy")</f>
        <v>Jun-2029</v>
      </c>
      <c r="B693" s="39" t="n">
        <f aca="false">SIP_Fund3_SBISmallcap!B58</f>
        <v>47270</v>
      </c>
      <c r="C693" s="40" t="n">
        <f aca="false">SIP_Fund3_SBISmallcap!C58</f>
        <v>7000</v>
      </c>
      <c r="D693" s="41" t="n">
        <f aca="false">SIP_Fund3_SBISmallcap!H58</f>
        <v>267.937196074866</v>
      </c>
      <c r="E693" s="42" t="n">
        <f aca="false">SIP_Fund3_SBISmallcap!I58</f>
        <v>26.125525319165</v>
      </c>
      <c r="F693" s="38" t="n">
        <f aca="false">Assumptions!$C$5-B693</f>
        <v>2419</v>
      </c>
      <c r="G693" s="41" t="n">
        <f aca="false">Assumptions!$D$24*(1+Assumptions!$F$24)^((Assumptions!$C$5-Assumptions!$C$4)/365)</f>
        <v>646.340264247885</v>
      </c>
      <c r="H693" s="40" t="n">
        <f aca="false">E693*G693</f>
        <v>16885.9789384039</v>
      </c>
      <c r="I693" s="48" t="n">
        <f aca="false">IF(F693&lt;365,Assumptions!$G$24,IF(F693&lt;=730,Assumptions!$H$24,Assumptions!$I$24))</f>
        <v>0</v>
      </c>
      <c r="J693" s="40" t="n">
        <f aca="false">H693*I693</f>
        <v>0</v>
      </c>
      <c r="K693" s="40" t="n">
        <f aca="false">H693-J693</f>
        <v>16885.9789384039</v>
      </c>
      <c r="L693" s="40" t="n">
        <f aca="false">K693-C693</f>
        <v>9885.97893840394</v>
      </c>
      <c r="M693" s="38" t="str">
        <f aca="false">IF(F693&gt;365,"LTCG","STCG")</f>
        <v>LTCG</v>
      </c>
      <c r="N693" s="48" t="n">
        <f aca="false">IF(M693="LTCG",Assumptions!$C$12,Assumptions!$C$11)</f>
        <v>0.125</v>
      </c>
      <c r="O693" s="38" t="str">
        <f aca="false">IF(M693="STCG",MAX(L693,0)*Assumptions!$C$11,"agg. below")</f>
        <v>agg. below</v>
      </c>
    </row>
    <row r="694" customFormat="false" ht="15" hidden="false" customHeight="false" outlineLevel="1" collapsed="false">
      <c r="A694" s="33" t="str">
        <f aca="false">TEXT(SIP_Fund3_SBISmallcap!B59,"mmm-yyyy")</f>
        <v>Jul-2029</v>
      </c>
      <c r="B694" s="34" t="n">
        <f aca="false">SIP_Fund3_SBISmallcap!B59</f>
        <v>47300</v>
      </c>
      <c r="C694" s="35" t="n">
        <f aca="false">SIP_Fund3_SBISmallcap!C59</f>
        <v>7000</v>
      </c>
      <c r="D694" s="36" t="n">
        <f aca="false">SIP_Fund3_SBISmallcap!H59</f>
        <v>270.879296935833</v>
      </c>
      <c r="E694" s="37" t="n">
        <f aca="false">SIP_Fund3_SBISmallcap!I59</f>
        <v>25.8417681941127</v>
      </c>
      <c r="F694" s="33" t="n">
        <f aca="false">Assumptions!$C$5-B694</f>
        <v>2389</v>
      </c>
      <c r="G694" s="36" t="n">
        <f aca="false">Assumptions!$D$24*(1+Assumptions!$F$24)^((Assumptions!$C$5-Assumptions!$C$4)/365)</f>
        <v>646.340264247885</v>
      </c>
      <c r="H694" s="35" t="n">
        <f aca="false">E694*G694</f>
        <v>16702.5752832154</v>
      </c>
      <c r="I694" s="47" t="n">
        <f aca="false">IF(F694&lt;365,Assumptions!$G$24,IF(F694&lt;=730,Assumptions!$H$24,Assumptions!$I$24))</f>
        <v>0</v>
      </c>
      <c r="J694" s="35" t="n">
        <f aca="false">H694*I694</f>
        <v>0</v>
      </c>
      <c r="K694" s="35" t="n">
        <f aca="false">H694-J694</f>
        <v>16702.5752832154</v>
      </c>
      <c r="L694" s="35" t="n">
        <f aca="false">K694-C694</f>
        <v>9702.57528321537</v>
      </c>
      <c r="M694" s="33" t="str">
        <f aca="false">IF(F694&gt;365,"LTCG","STCG")</f>
        <v>LTCG</v>
      </c>
      <c r="N694" s="47" t="n">
        <f aca="false">IF(M694="LTCG",Assumptions!$C$12,Assumptions!$C$11)</f>
        <v>0.125</v>
      </c>
      <c r="O694" s="33" t="str">
        <f aca="false">IF(M694="STCG",MAX(L694,0)*Assumptions!$C$11,"agg. below")</f>
        <v>agg. below</v>
      </c>
    </row>
    <row r="695" customFormat="false" ht="15" hidden="false" customHeight="false" outlineLevel="1" collapsed="false">
      <c r="A695" s="38" t="str">
        <f aca="false">TEXT(SIP_Fund3_SBISmallcap!B60,"mmm-yyyy")</f>
        <v>Aug-2029</v>
      </c>
      <c r="B695" s="39" t="n">
        <f aca="false">SIP_Fund3_SBISmallcap!B60</f>
        <v>47331</v>
      </c>
      <c r="C695" s="40" t="n">
        <f aca="false">SIP_Fund3_SBISmallcap!C60</f>
        <v>7000</v>
      </c>
      <c r="D695" s="41" t="n">
        <f aca="false">SIP_Fund3_SBISmallcap!H60</f>
        <v>273.95341111851</v>
      </c>
      <c r="E695" s="42" t="n">
        <f aca="false">SIP_Fund3_SBISmallcap!I60</f>
        <v>25.5517898879961</v>
      </c>
      <c r="F695" s="38" t="n">
        <f aca="false">Assumptions!$C$5-B695</f>
        <v>2358</v>
      </c>
      <c r="G695" s="41" t="n">
        <f aca="false">Assumptions!$D$24*(1+Assumptions!$F$24)^((Assumptions!$C$5-Assumptions!$C$4)/365)</f>
        <v>646.340264247885</v>
      </c>
      <c r="H695" s="40" t="n">
        <f aca="false">E695*G695</f>
        <v>16515.1506282138</v>
      </c>
      <c r="I695" s="48" t="n">
        <f aca="false">IF(F695&lt;365,Assumptions!$G$24,IF(F695&lt;=730,Assumptions!$H$24,Assumptions!$I$24))</f>
        <v>0</v>
      </c>
      <c r="J695" s="40" t="n">
        <f aca="false">H695*I695</f>
        <v>0</v>
      </c>
      <c r="K695" s="40" t="n">
        <f aca="false">H695-J695</f>
        <v>16515.1506282138</v>
      </c>
      <c r="L695" s="40" t="n">
        <f aca="false">K695-C695</f>
        <v>9515.15062821385</v>
      </c>
      <c r="M695" s="38" t="str">
        <f aca="false">IF(F695&gt;365,"LTCG","STCG")</f>
        <v>LTCG</v>
      </c>
      <c r="N695" s="48" t="n">
        <f aca="false">IF(M695="LTCG",Assumptions!$C$12,Assumptions!$C$11)</f>
        <v>0.125</v>
      </c>
      <c r="O695" s="38" t="str">
        <f aca="false">IF(M695="STCG",MAX(L695,0)*Assumptions!$C$11,"agg. below")</f>
        <v>agg. below</v>
      </c>
    </row>
    <row r="696" customFormat="false" ht="15" hidden="false" customHeight="false" outlineLevel="1" collapsed="false">
      <c r="A696" s="33" t="str">
        <f aca="false">TEXT(SIP_Fund3_SBISmallcap!B61,"mmm-yyyy")</f>
        <v>Sep-2029</v>
      </c>
      <c r="B696" s="34" t="n">
        <f aca="false">SIP_Fund3_SBISmallcap!B61</f>
        <v>47362</v>
      </c>
      <c r="C696" s="35" t="n">
        <f aca="false">SIP_Fund3_SBISmallcap!C61</f>
        <v>7000</v>
      </c>
      <c r="D696" s="36" t="n">
        <f aca="false">SIP_Fund3_SBISmallcap!H61</f>
        <v>277.0624123454</v>
      </c>
      <c r="E696" s="37" t="n">
        <f aca="false">SIP_Fund3_SBISmallcap!I61</f>
        <v>25.2650655162616</v>
      </c>
      <c r="F696" s="33" t="n">
        <f aca="false">Assumptions!$C$5-B696</f>
        <v>2327</v>
      </c>
      <c r="G696" s="36" t="n">
        <f aca="false">Assumptions!$D$24*(1+Assumptions!$F$24)^((Assumptions!$C$5-Assumptions!$C$4)/365)</f>
        <v>646.340264247885</v>
      </c>
      <c r="H696" s="35" t="n">
        <f aca="false">E696*G696</f>
        <v>16329.8291220206</v>
      </c>
      <c r="I696" s="47" t="n">
        <f aca="false">IF(F696&lt;365,Assumptions!$G$24,IF(F696&lt;=730,Assumptions!$H$24,Assumptions!$I$24))</f>
        <v>0</v>
      </c>
      <c r="J696" s="35" t="n">
        <f aca="false">H696*I696</f>
        <v>0</v>
      </c>
      <c r="K696" s="35" t="n">
        <f aca="false">H696-J696</f>
        <v>16329.8291220206</v>
      </c>
      <c r="L696" s="35" t="n">
        <f aca="false">K696-C696</f>
        <v>9329.82912202063</v>
      </c>
      <c r="M696" s="33" t="str">
        <f aca="false">IF(F696&gt;365,"LTCG","STCG")</f>
        <v>LTCG</v>
      </c>
      <c r="N696" s="47" t="n">
        <f aca="false">IF(M696="LTCG",Assumptions!$C$12,Assumptions!$C$11)</f>
        <v>0.125</v>
      </c>
      <c r="O696" s="33" t="str">
        <f aca="false">IF(M696="STCG",MAX(L696,0)*Assumptions!$C$11,"agg. below")</f>
        <v>agg. below</v>
      </c>
    </row>
    <row r="697" customFormat="false" ht="15" hidden="false" customHeight="false" outlineLevel="1" collapsed="false">
      <c r="A697" s="38" t="str">
        <f aca="false">TEXT(SIP_Fund3_SBISmallcap!B62,"mmm-yyyy")</f>
        <v>Oct-2029</v>
      </c>
      <c r="B697" s="39" t="n">
        <f aca="false">SIP_Fund3_SBISmallcap!B62</f>
        <v>47392</v>
      </c>
      <c r="C697" s="40" t="n">
        <f aca="false">SIP_Fund3_SBISmallcap!C62</f>
        <v>7000</v>
      </c>
      <c r="D697" s="41" t="n">
        <f aca="false">SIP_Fund3_SBISmallcap!H62</f>
        <v>280.104713204871</v>
      </c>
      <c r="E697" s="42" t="n">
        <f aca="false">SIP_Fund3_SBISmallcap!I62</f>
        <v>24.9906541018471</v>
      </c>
      <c r="F697" s="38" t="n">
        <f aca="false">Assumptions!$C$5-B697</f>
        <v>2297</v>
      </c>
      <c r="G697" s="41" t="n">
        <f aca="false">Assumptions!$D$24*(1+Assumptions!$F$24)^((Assumptions!$C$5-Assumptions!$C$4)/365)</f>
        <v>646.340264247885</v>
      </c>
      <c r="H697" s="40" t="n">
        <f aca="false">E697*G697</f>
        <v>16152.4659759153</v>
      </c>
      <c r="I697" s="48" t="n">
        <f aca="false">IF(F697&lt;365,Assumptions!$G$24,IF(F697&lt;=730,Assumptions!$H$24,Assumptions!$I$24))</f>
        <v>0</v>
      </c>
      <c r="J697" s="40" t="n">
        <f aca="false">H697*I697</f>
        <v>0</v>
      </c>
      <c r="K697" s="40" t="n">
        <f aca="false">H697-J697</f>
        <v>16152.4659759153</v>
      </c>
      <c r="L697" s="40" t="n">
        <f aca="false">K697-C697</f>
        <v>9152.46597591532</v>
      </c>
      <c r="M697" s="38" t="str">
        <f aca="false">IF(F697&gt;365,"LTCG","STCG")</f>
        <v>LTCG</v>
      </c>
      <c r="N697" s="48" t="n">
        <f aca="false">IF(M697="LTCG",Assumptions!$C$12,Assumptions!$C$11)</f>
        <v>0.125</v>
      </c>
      <c r="O697" s="38" t="str">
        <f aca="false">IF(M697="STCG",MAX(L697,0)*Assumptions!$C$11,"agg. below")</f>
        <v>agg. below</v>
      </c>
    </row>
    <row r="698" customFormat="false" ht="15" hidden="false" customHeight="false" outlineLevel="1" collapsed="false">
      <c r="A698" s="33" t="str">
        <f aca="false">TEXT(SIP_Fund3_SBISmallcap!B63,"mmm-yyyy")</f>
        <v>Nov-2029</v>
      </c>
      <c r="B698" s="34" t="n">
        <f aca="false">SIP_Fund3_SBISmallcap!B63</f>
        <v>47423</v>
      </c>
      <c r="C698" s="35" t="n">
        <f aca="false">SIP_Fund3_SBISmallcap!C63</f>
        <v>7000</v>
      </c>
      <c r="D698" s="36" t="n">
        <f aca="false">SIP_Fund3_SBISmallcap!H63</f>
        <v>283.283523402765</v>
      </c>
      <c r="E698" s="37" t="n">
        <f aca="false">SIP_Fund3_SBISmallcap!I63</f>
        <v>24.7102264046878</v>
      </c>
      <c r="F698" s="33" t="n">
        <f aca="false">Assumptions!$C$5-B698</f>
        <v>2266</v>
      </c>
      <c r="G698" s="36" t="n">
        <f aca="false">Assumptions!$D$24*(1+Assumptions!$F$24)^((Assumptions!$C$5-Assumptions!$C$4)/365)</f>
        <v>646.340264247885</v>
      </c>
      <c r="H698" s="35" t="n">
        <f aca="false">E698*G698</f>
        <v>15971.214264031</v>
      </c>
      <c r="I698" s="47" t="n">
        <f aca="false">IF(F698&lt;365,Assumptions!$G$24,IF(F698&lt;=730,Assumptions!$H$24,Assumptions!$I$24))</f>
        <v>0</v>
      </c>
      <c r="J698" s="35" t="n">
        <f aca="false">H698*I698</f>
        <v>0</v>
      </c>
      <c r="K698" s="35" t="n">
        <f aca="false">H698-J698</f>
        <v>15971.214264031</v>
      </c>
      <c r="L698" s="35" t="n">
        <f aca="false">K698-C698</f>
        <v>8971.21426403099</v>
      </c>
      <c r="M698" s="33" t="str">
        <f aca="false">IF(F698&gt;365,"LTCG","STCG")</f>
        <v>LTCG</v>
      </c>
      <c r="N698" s="47" t="n">
        <f aca="false">IF(M698="LTCG",Assumptions!$C$12,Assumptions!$C$11)</f>
        <v>0.125</v>
      </c>
      <c r="O698" s="33" t="str">
        <f aca="false">IF(M698="STCG",MAX(L698,0)*Assumptions!$C$11,"agg. below")</f>
        <v>agg. below</v>
      </c>
    </row>
    <row r="699" customFormat="false" ht="15" hidden="false" customHeight="false" outlineLevel="1" collapsed="false">
      <c r="A699" s="38" t="str">
        <f aca="false">TEXT(SIP_Fund3_SBISmallcap!B64,"mmm-yyyy")</f>
        <v>Dec-2029</v>
      </c>
      <c r="B699" s="39" t="n">
        <f aca="false">SIP_Fund3_SBISmallcap!B64</f>
        <v>47453</v>
      </c>
      <c r="C699" s="40" t="n">
        <f aca="false">SIP_Fund3_SBISmallcap!C64</f>
        <v>7000</v>
      </c>
      <c r="D699" s="41" t="n">
        <f aca="false">SIP_Fund3_SBISmallcap!H64</f>
        <v>286.394135554831</v>
      </c>
      <c r="E699" s="42" t="n">
        <f aca="false">SIP_Fund3_SBISmallcap!I64</f>
        <v>24.4418412634006</v>
      </c>
      <c r="F699" s="38" t="n">
        <f aca="false">Assumptions!$C$5-B699</f>
        <v>2236</v>
      </c>
      <c r="G699" s="41" t="n">
        <f aca="false">Assumptions!$D$24*(1+Assumptions!$F$24)^((Assumptions!$C$5-Assumptions!$C$4)/365)</f>
        <v>646.340264247885</v>
      </c>
      <c r="H699" s="40" t="n">
        <f aca="false">E699*G699</f>
        <v>15797.7461408912</v>
      </c>
      <c r="I699" s="48" t="n">
        <f aca="false">IF(F699&lt;365,Assumptions!$G$24,IF(F699&lt;=730,Assumptions!$H$24,Assumptions!$I$24))</f>
        <v>0</v>
      </c>
      <c r="J699" s="40" t="n">
        <f aca="false">H699*I699</f>
        <v>0</v>
      </c>
      <c r="K699" s="40" t="n">
        <f aca="false">H699-J699</f>
        <v>15797.7461408912</v>
      </c>
      <c r="L699" s="40" t="n">
        <f aca="false">K699-C699</f>
        <v>8797.74614089118</v>
      </c>
      <c r="M699" s="38" t="str">
        <f aca="false">IF(F699&gt;365,"LTCG","STCG")</f>
        <v>LTCG</v>
      </c>
      <c r="N699" s="48" t="n">
        <f aca="false">IF(M699="LTCG",Assumptions!$C$12,Assumptions!$C$11)</f>
        <v>0.125</v>
      </c>
      <c r="O699" s="38" t="str">
        <f aca="false">IF(M699="STCG",MAX(L699,0)*Assumptions!$C$11,"agg. below")</f>
        <v>agg. below</v>
      </c>
    </row>
    <row r="700" customFormat="false" ht="15" hidden="false" customHeight="false" outlineLevel="1" collapsed="false">
      <c r="A700" s="33" t="str">
        <f aca="false">TEXT(SIP_Fund3_SBISmallcap!B65,"mmm-yyyy")</f>
        <v>Jan-2030</v>
      </c>
      <c r="B700" s="34" t="n">
        <f aca="false">SIP_Fund3_SBISmallcap!B65</f>
        <v>47484</v>
      </c>
      <c r="C700" s="35" t="n">
        <f aca="false">SIP_Fund3_SBISmallcap!C65</f>
        <v>8000</v>
      </c>
      <c r="D700" s="36" t="n">
        <f aca="false">SIP_Fund3_SBISmallcap!H65</f>
        <v>289.644322202183</v>
      </c>
      <c r="E700" s="37" t="n">
        <f aca="false">SIP_Fund3_SBISmallcap!I65</f>
        <v>27.6200822414731</v>
      </c>
      <c r="F700" s="33" t="n">
        <f aca="false">Assumptions!$C$5-B700</f>
        <v>2205</v>
      </c>
      <c r="G700" s="36" t="n">
        <f aca="false">Assumptions!$D$24*(1+Assumptions!$F$24)^((Assumptions!$C$5-Assumptions!$C$4)/365)</f>
        <v>646.340264247885</v>
      </c>
      <c r="H700" s="35" t="n">
        <f aca="false">E700*G700</f>
        <v>17851.971254502</v>
      </c>
      <c r="I700" s="47" t="n">
        <f aca="false">IF(F700&lt;365,Assumptions!$G$24,IF(F700&lt;=730,Assumptions!$H$24,Assumptions!$I$24))</f>
        <v>0</v>
      </c>
      <c r="J700" s="35" t="n">
        <f aca="false">H700*I700</f>
        <v>0</v>
      </c>
      <c r="K700" s="35" t="n">
        <f aca="false">H700-J700</f>
        <v>17851.971254502</v>
      </c>
      <c r="L700" s="35" t="n">
        <f aca="false">K700-C700</f>
        <v>9851.97125450201</v>
      </c>
      <c r="M700" s="33" t="str">
        <f aca="false">IF(F700&gt;365,"LTCG","STCG")</f>
        <v>LTCG</v>
      </c>
      <c r="N700" s="47" t="n">
        <f aca="false">IF(M700="LTCG",Assumptions!$C$12,Assumptions!$C$11)</f>
        <v>0.125</v>
      </c>
      <c r="O700" s="33" t="str">
        <f aca="false">IF(M700="STCG",MAX(L700,0)*Assumptions!$C$11,"agg. below")</f>
        <v>agg. below</v>
      </c>
    </row>
    <row r="701" customFormat="false" ht="15" hidden="false" customHeight="false" outlineLevel="1" collapsed="false">
      <c r="A701" s="38" t="str">
        <f aca="false">TEXT(SIP_Fund3_SBISmallcap!B66,"mmm-yyyy")</f>
        <v>Feb-2030</v>
      </c>
      <c r="B701" s="39" t="n">
        <f aca="false">SIP_Fund3_SBISmallcap!B66</f>
        <v>47515</v>
      </c>
      <c r="C701" s="40" t="n">
        <f aca="false">SIP_Fund3_SBISmallcap!C66</f>
        <v>8000</v>
      </c>
      <c r="D701" s="41" t="n">
        <f aca="false">SIP_Fund3_SBISmallcap!H66</f>
        <v>292.931394078424</v>
      </c>
      <c r="E701" s="42" t="n">
        <f aca="false">SIP_Fund3_SBISmallcap!I66</f>
        <v>27.3101489349354</v>
      </c>
      <c r="F701" s="38" t="n">
        <f aca="false">Assumptions!$C$5-B701</f>
        <v>2174</v>
      </c>
      <c r="G701" s="41" t="n">
        <f aca="false">Assumptions!$D$24*(1+Assumptions!$F$24)^((Assumptions!$C$5-Assumptions!$C$4)/365)</f>
        <v>646.340264247885</v>
      </c>
      <c r="H701" s="40" t="n">
        <f aca="false">E701*G701</f>
        <v>17651.6488792552</v>
      </c>
      <c r="I701" s="48" t="n">
        <f aca="false">IF(F701&lt;365,Assumptions!$G$24,IF(F701&lt;=730,Assumptions!$H$24,Assumptions!$I$24))</f>
        <v>0</v>
      </c>
      <c r="J701" s="40" t="n">
        <f aca="false">H701*I701</f>
        <v>0</v>
      </c>
      <c r="K701" s="40" t="n">
        <f aca="false">H701-J701</f>
        <v>17651.6488792552</v>
      </c>
      <c r="L701" s="40" t="n">
        <f aca="false">K701-C701</f>
        <v>9651.64887925522</v>
      </c>
      <c r="M701" s="38" t="str">
        <f aca="false">IF(F701&gt;365,"LTCG","STCG")</f>
        <v>LTCG</v>
      </c>
      <c r="N701" s="48" t="n">
        <f aca="false">IF(M701="LTCG",Assumptions!$C$12,Assumptions!$C$11)</f>
        <v>0.125</v>
      </c>
      <c r="O701" s="38" t="str">
        <f aca="false">IF(M701="STCG",MAX(L701,0)*Assumptions!$C$11,"agg. below")</f>
        <v>agg. below</v>
      </c>
    </row>
    <row r="702" customFormat="false" ht="15" hidden="false" customHeight="false" outlineLevel="1" collapsed="false">
      <c r="A702" s="33" t="str">
        <f aca="false">TEXT(SIP_Fund3_SBISmallcap!B67,"mmm-yyyy")</f>
        <v>Mar-2030</v>
      </c>
      <c r="B702" s="34" t="n">
        <f aca="false">SIP_Fund3_SBISmallcap!B67</f>
        <v>47543</v>
      </c>
      <c r="C702" s="35" t="n">
        <f aca="false">SIP_Fund3_SBISmallcap!C67</f>
        <v>8000</v>
      </c>
      <c r="D702" s="36" t="n">
        <f aca="false">SIP_Fund3_SBISmallcap!H67</f>
        <v>295.932413957675</v>
      </c>
      <c r="E702" s="37" t="n">
        <f aca="false">SIP_Fund3_SBISmallcap!I67</f>
        <v>27.033199550571</v>
      </c>
      <c r="F702" s="33" t="n">
        <f aca="false">Assumptions!$C$5-B702</f>
        <v>2146</v>
      </c>
      <c r="G702" s="36" t="n">
        <f aca="false">Assumptions!$D$24*(1+Assumptions!$F$24)^((Assumptions!$C$5-Assumptions!$C$4)/365)</f>
        <v>646.340264247885</v>
      </c>
      <c r="H702" s="35" t="n">
        <f aca="false">E702*G702</f>
        <v>17472.6453409819</v>
      </c>
      <c r="I702" s="47" t="n">
        <f aca="false">IF(F702&lt;365,Assumptions!$G$24,IF(F702&lt;=730,Assumptions!$H$24,Assumptions!$I$24))</f>
        <v>0</v>
      </c>
      <c r="J702" s="35" t="n">
        <f aca="false">H702*I702</f>
        <v>0</v>
      </c>
      <c r="K702" s="35" t="n">
        <f aca="false">H702-J702</f>
        <v>17472.6453409819</v>
      </c>
      <c r="L702" s="35" t="n">
        <f aca="false">K702-C702</f>
        <v>9472.64534098186</v>
      </c>
      <c r="M702" s="33" t="str">
        <f aca="false">IF(F702&gt;365,"LTCG","STCG")</f>
        <v>LTCG</v>
      </c>
      <c r="N702" s="47" t="n">
        <f aca="false">IF(M702="LTCG",Assumptions!$C$12,Assumptions!$C$11)</f>
        <v>0.125</v>
      </c>
      <c r="O702" s="33" t="str">
        <f aca="false">IF(M702="STCG",MAX(L702,0)*Assumptions!$C$11,"agg. below")</f>
        <v>agg. below</v>
      </c>
    </row>
    <row r="703" customFormat="false" ht="15" hidden="false" customHeight="false" outlineLevel="1" collapsed="false">
      <c r="A703" s="38" t="str">
        <f aca="false">TEXT(SIP_Fund3_SBISmallcap!B68,"mmm-yyyy")</f>
        <v>Apr-2030</v>
      </c>
      <c r="B703" s="39" t="n">
        <f aca="false">SIP_Fund3_SBISmallcap!B68</f>
        <v>47574</v>
      </c>
      <c r="C703" s="40" t="n">
        <f aca="false">SIP_Fund3_SBISmallcap!C68</f>
        <v>8000</v>
      </c>
      <c r="D703" s="41" t="n">
        <f aca="false">SIP_Fund3_SBISmallcap!H68</f>
        <v>299.290847182924</v>
      </c>
      <c r="E703" s="42" t="n">
        <f aca="false">SIP_Fund3_SBISmallcap!I68</f>
        <v>26.7298518324233</v>
      </c>
      <c r="F703" s="38" t="n">
        <f aca="false">Assumptions!$C$5-B703</f>
        <v>2115</v>
      </c>
      <c r="G703" s="41" t="n">
        <f aca="false">Assumptions!$D$24*(1+Assumptions!$F$24)^((Assumptions!$C$5-Assumptions!$C$4)/365)</f>
        <v>646.340264247885</v>
      </c>
      <c r="H703" s="40" t="n">
        <f aca="false">E703*G703</f>
        <v>17276.5794966753</v>
      </c>
      <c r="I703" s="48" t="n">
        <f aca="false">IF(F703&lt;365,Assumptions!$G$24,IF(F703&lt;=730,Assumptions!$H$24,Assumptions!$I$24))</f>
        <v>0</v>
      </c>
      <c r="J703" s="40" t="n">
        <f aca="false">H703*I703</f>
        <v>0</v>
      </c>
      <c r="K703" s="40" t="n">
        <f aca="false">H703-J703</f>
        <v>17276.5794966753</v>
      </c>
      <c r="L703" s="40" t="n">
        <f aca="false">K703-C703</f>
        <v>9276.57949667531</v>
      </c>
      <c r="M703" s="38" t="str">
        <f aca="false">IF(F703&gt;365,"LTCG","STCG")</f>
        <v>LTCG</v>
      </c>
      <c r="N703" s="48" t="n">
        <f aca="false">IF(M703="LTCG",Assumptions!$C$12,Assumptions!$C$11)</f>
        <v>0.125</v>
      </c>
      <c r="O703" s="38" t="str">
        <f aca="false">IF(M703="STCG",MAX(L703,0)*Assumptions!$C$11,"agg. below")</f>
        <v>agg. below</v>
      </c>
    </row>
    <row r="704" customFormat="false" ht="15" hidden="false" customHeight="false" outlineLevel="1" collapsed="false">
      <c r="A704" s="33" t="str">
        <f aca="false">TEXT(SIP_Fund3_SBISmallcap!B69,"mmm-yyyy")</f>
        <v>May-2030</v>
      </c>
      <c r="B704" s="34" t="n">
        <f aca="false">SIP_Fund3_SBISmallcap!B69</f>
        <v>47604</v>
      </c>
      <c r="C704" s="35" t="n">
        <f aca="false">SIP_Fund3_SBISmallcap!C69</f>
        <v>8000</v>
      </c>
      <c r="D704" s="36" t="n">
        <f aca="false">SIP_Fund3_SBISmallcap!H69</f>
        <v>302.577228738287</v>
      </c>
      <c r="E704" s="37" t="n">
        <f aca="false">SIP_Fund3_SBISmallcap!I69</f>
        <v>26.4395309368094</v>
      </c>
      <c r="F704" s="33" t="n">
        <f aca="false">Assumptions!$C$5-B704</f>
        <v>2085</v>
      </c>
      <c r="G704" s="36" t="n">
        <f aca="false">Assumptions!$D$24*(1+Assumptions!$F$24)^((Assumptions!$C$5-Assumptions!$C$4)/365)</f>
        <v>646.340264247885</v>
      </c>
      <c r="H704" s="35" t="n">
        <f aca="false">E704*G704</f>
        <v>17088.9334122875</v>
      </c>
      <c r="I704" s="47" t="n">
        <f aca="false">IF(F704&lt;365,Assumptions!$G$24,IF(F704&lt;=730,Assumptions!$H$24,Assumptions!$I$24))</f>
        <v>0</v>
      </c>
      <c r="J704" s="35" t="n">
        <f aca="false">H704*I704</f>
        <v>0</v>
      </c>
      <c r="K704" s="35" t="n">
        <f aca="false">H704-J704</f>
        <v>17088.9334122875</v>
      </c>
      <c r="L704" s="35" t="n">
        <f aca="false">K704-C704</f>
        <v>9088.93341228752</v>
      </c>
      <c r="M704" s="33" t="str">
        <f aca="false">IF(F704&gt;365,"LTCG","STCG")</f>
        <v>LTCG</v>
      </c>
      <c r="N704" s="47" t="n">
        <f aca="false">IF(M704="LTCG",Assumptions!$C$12,Assumptions!$C$11)</f>
        <v>0.125</v>
      </c>
      <c r="O704" s="33" t="str">
        <f aca="false">IF(M704="STCG",MAX(L704,0)*Assumptions!$C$11,"agg. below")</f>
        <v>agg. below</v>
      </c>
    </row>
    <row r="705" customFormat="false" ht="15" hidden="false" customHeight="false" outlineLevel="1" collapsed="false">
      <c r="A705" s="38" t="str">
        <f aca="false">TEXT(SIP_Fund3_SBISmallcap!B70,"mmm-yyyy")</f>
        <v>Jun-2030</v>
      </c>
      <c r="B705" s="39" t="n">
        <f aca="false">SIP_Fund3_SBISmallcap!B70</f>
        <v>47635</v>
      </c>
      <c r="C705" s="40" t="n">
        <f aca="false">SIP_Fund3_SBISmallcap!C70</f>
        <v>8000</v>
      </c>
      <c r="D705" s="41" t="n">
        <f aca="false">SIP_Fund3_SBISmallcap!H70</f>
        <v>306.011071637104</v>
      </c>
      <c r="E705" s="42" t="n">
        <f aca="false">SIP_Fund3_SBISmallcap!I70</f>
        <v>26.142844953947</v>
      </c>
      <c r="F705" s="38" t="n">
        <f aca="false">Assumptions!$C$5-B705</f>
        <v>2054</v>
      </c>
      <c r="G705" s="41" t="n">
        <f aca="false">Assumptions!$D$24*(1+Assumptions!$F$24)^((Assumptions!$C$5-Assumptions!$C$4)/365)</f>
        <v>646.340264247885</v>
      </c>
      <c r="H705" s="40" t="n">
        <f aca="false">E705*G705</f>
        <v>16897.1733157256</v>
      </c>
      <c r="I705" s="48" t="n">
        <f aca="false">IF(F705&lt;365,Assumptions!$G$24,IF(F705&lt;=730,Assumptions!$H$24,Assumptions!$I$24))</f>
        <v>0</v>
      </c>
      <c r="J705" s="40" t="n">
        <f aca="false">H705*I705</f>
        <v>0</v>
      </c>
      <c r="K705" s="40" t="n">
        <f aca="false">H705-J705</f>
        <v>16897.1733157256</v>
      </c>
      <c r="L705" s="40" t="n">
        <f aca="false">K705-C705</f>
        <v>8897.17331572561</v>
      </c>
      <c r="M705" s="38" t="str">
        <f aca="false">IF(F705&gt;365,"LTCG","STCG")</f>
        <v>LTCG</v>
      </c>
      <c r="N705" s="48" t="n">
        <f aca="false">IF(M705="LTCG",Assumptions!$C$12,Assumptions!$C$11)</f>
        <v>0.125</v>
      </c>
      <c r="O705" s="38" t="str">
        <f aca="false">IF(M705="STCG",MAX(L705,0)*Assumptions!$C$11,"agg. below")</f>
        <v>agg. below</v>
      </c>
    </row>
    <row r="706" customFormat="false" ht="15" hidden="false" customHeight="false" outlineLevel="1" collapsed="false">
      <c r="A706" s="33" t="str">
        <f aca="false">TEXT(SIP_Fund3_SBISmallcap!B71,"mmm-yyyy")</f>
        <v>Jul-2030</v>
      </c>
      <c r="B706" s="34" t="n">
        <f aca="false">SIP_Fund3_SBISmallcap!B71</f>
        <v>47665</v>
      </c>
      <c r="C706" s="35" t="n">
        <f aca="false">SIP_Fund3_SBISmallcap!C71</f>
        <v>8000</v>
      </c>
      <c r="D706" s="36" t="n">
        <f aca="false">SIP_Fund3_SBISmallcap!H71</f>
        <v>309.371245030415</v>
      </c>
      <c r="E706" s="37" t="n">
        <f aca="false">SIP_Fund3_SBISmallcap!I71</f>
        <v>25.858899715174</v>
      </c>
      <c r="F706" s="33" t="n">
        <f aca="false">Assumptions!$C$5-B706</f>
        <v>2024</v>
      </c>
      <c r="G706" s="36" t="n">
        <f aca="false">Assumptions!$D$24*(1+Assumptions!$F$24)^((Assumptions!$C$5-Assumptions!$C$4)/365)</f>
        <v>646.340264247885</v>
      </c>
      <c r="H706" s="35" t="n">
        <f aca="false">E706*G706</f>
        <v>16713.6480750651</v>
      </c>
      <c r="I706" s="47" t="n">
        <f aca="false">IF(F706&lt;365,Assumptions!$G$24,IF(F706&lt;=730,Assumptions!$H$24,Assumptions!$I$24))</f>
        <v>0</v>
      </c>
      <c r="J706" s="35" t="n">
        <f aca="false">H706*I706</f>
        <v>0</v>
      </c>
      <c r="K706" s="35" t="n">
        <f aca="false">H706-J706</f>
        <v>16713.6480750651</v>
      </c>
      <c r="L706" s="35" t="n">
        <f aca="false">K706-C706</f>
        <v>8713.64807506509</v>
      </c>
      <c r="M706" s="33" t="str">
        <f aca="false">IF(F706&gt;365,"LTCG","STCG")</f>
        <v>LTCG</v>
      </c>
      <c r="N706" s="47" t="n">
        <f aca="false">IF(M706="LTCG",Assumptions!$C$12,Assumptions!$C$11)</f>
        <v>0.125</v>
      </c>
      <c r="O706" s="33" t="str">
        <f aca="false">IF(M706="STCG",MAX(L706,0)*Assumptions!$C$11,"agg. below")</f>
        <v>agg. below</v>
      </c>
    </row>
    <row r="707" customFormat="false" ht="15" hidden="false" customHeight="false" outlineLevel="1" collapsed="false">
      <c r="A707" s="38" t="str">
        <f aca="false">TEXT(SIP_Fund3_SBISmallcap!B72,"mmm-yyyy")</f>
        <v>Aug-2030</v>
      </c>
      <c r="B707" s="39" t="n">
        <f aca="false">SIP_Fund3_SBISmallcap!B72</f>
        <v>47696</v>
      </c>
      <c r="C707" s="40" t="n">
        <f aca="false">SIP_Fund3_SBISmallcap!C72</f>
        <v>8000</v>
      </c>
      <c r="D707" s="41" t="n">
        <f aca="false">SIP_Fund3_SBISmallcap!H72</f>
        <v>312.882190838451</v>
      </c>
      <c r="E707" s="42" t="n">
        <f aca="false">SIP_Fund3_SBISmallcap!I72</f>
        <v>25.568729171072</v>
      </c>
      <c r="F707" s="38" t="n">
        <f aca="false">Assumptions!$C$5-B707</f>
        <v>1993</v>
      </c>
      <c r="G707" s="41" t="n">
        <f aca="false">Assumptions!$D$24*(1+Assumptions!$F$24)^((Assumptions!$C$5-Assumptions!$C$4)/365)</f>
        <v>646.340264247885</v>
      </c>
      <c r="H707" s="40" t="n">
        <f aca="false">E707*G707</f>
        <v>16526.0991689133</v>
      </c>
      <c r="I707" s="48" t="n">
        <f aca="false">IF(F707&lt;365,Assumptions!$G$24,IF(F707&lt;=730,Assumptions!$H$24,Assumptions!$I$24))</f>
        <v>0</v>
      </c>
      <c r="J707" s="40" t="n">
        <f aca="false">H707*I707</f>
        <v>0</v>
      </c>
      <c r="K707" s="40" t="n">
        <f aca="false">H707-J707</f>
        <v>16526.0991689133</v>
      </c>
      <c r="L707" s="40" t="n">
        <f aca="false">K707-C707</f>
        <v>8526.09916891325</v>
      </c>
      <c r="M707" s="38" t="str">
        <f aca="false">IF(F707&gt;365,"LTCG","STCG")</f>
        <v>LTCG</v>
      </c>
      <c r="N707" s="48" t="n">
        <f aca="false">IF(M707="LTCG",Assumptions!$C$12,Assumptions!$C$11)</f>
        <v>0.125</v>
      </c>
      <c r="O707" s="38" t="str">
        <f aca="false">IF(M707="STCG",MAX(L707,0)*Assumptions!$C$11,"agg. below")</f>
        <v>agg. below</v>
      </c>
    </row>
    <row r="708" customFormat="false" ht="15" hidden="false" customHeight="false" outlineLevel="1" collapsed="false">
      <c r="A708" s="33" t="str">
        <f aca="false">TEXT(SIP_Fund3_SBISmallcap!B73,"mmm-yyyy")</f>
        <v>Sep-2030</v>
      </c>
      <c r="B708" s="34" t="n">
        <f aca="false">SIP_Fund3_SBISmallcap!B73</f>
        <v>47727</v>
      </c>
      <c r="C708" s="35" t="n">
        <f aca="false">SIP_Fund3_SBISmallcap!C73</f>
        <v>8000</v>
      </c>
      <c r="D708" s="36" t="n">
        <f aca="false">SIP_Fund3_SBISmallcap!H73</f>
        <v>316.432981139681</v>
      </c>
      <c r="E708" s="37" t="n">
        <f aca="false">SIP_Fund3_SBISmallcap!I73</f>
        <v>25.2818147185126</v>
      </c>
      <c r="F708" s="33" t="n">
        <f aca="false">Assumptions!$C$5-B708</f>
        <v>1962</v>
      </c>
      <c r="G708" s="36" t="n">
        <f aca="false">Assumptions!$D$24*(1+Assumptions!$F$24)^((Assumptions!$C$5-Assumptions!$C$4)/365)</f>
        <v>646.340264247885</v>
      </c>
      <c r="H708" s="35" t="n">
        <f aca="false">E708*G708</f>
        <v>16340.6548058295</v>
      </c>
      <c r="I708" s="47" t="n">
        <f aca="false">IF(F708&lt;365,Assumptions!$G$24,IF(F708&lt;=730,Assumptions!$H$24,Assumptions!$I$24))</f>
        <v>0</v>
      </c>
      <c r="J708" s="35" t="n">
        <f aca="false">H708*I708</f>
        <v>0</v>
      </c>
      <c r="K708" s="35" t="n">
        <f aca="false">H708-J708</f>
        <v>16340.6548058295</v>
      </c>
      <c r="L708" s="35" t="n">
        <f aca="false">K708-C708</f>
        <v>8340.65480582949</v>
      </c>
      <c r="M708" s="33" t="str">
        <f aca="false">IF(F708&gt;365,"LTCG","STCG")</f>
        <v>LTCG</v>
      </c>
      <c r="N708" s="47" t="n">
        <f aca="false">IF(M708="LTCG",Assumptions!$C$12,Assumptions!$C$11)</f>
        <v>0.125</v>
      </c>
      <c r="O708" s="33" t="str">
        <f aca="false">IF(M708="STCG",MAX(L708,0)*Assumptions!$C$11,"agg. below")</f>
        <v>agg. below</v>
      </c>
    </row>
    <row r="709" customFormat="false" ht="15" hidden="false" customHeight="false" outlineLevel="1" collapsed="false">
      <c r="A709" s="38" t="str">
        <f aca="false">TEXT(SIP_Fund3_SBISmallcap!B74,"mmm-yyyy")</f>
        <v>Oct-2030</v>
      </c>
      <c r="B709" s="39" t="n">
        <f aca="false">SIP_Fund3_SBISmallcap!B74</f>
        <v>47757</v>
      </c>
      <c r="C709" s="40" t="n">
        <f aca="false">SIP_Fund3_SBISmallcap!C74</f>
        <v>8000</v>
      </c>
      <c r="D709" s="41" t="n">
        <f aca="false">SIP_Fund3_SBISmallcap!H74</f>
        <v>319.907592951283</v>
      </c>
      <c r="E709" s="42" t="n">
        <f aca="false">SIP_Fund3_SBISmallcap!I74</f>
        <v>25.0072213860153</v>
      </c>
      <c r="F709" s="38" t="n">
        <f aca="false">Assumptions!$C$5-B709</f>
        <v>1932</v>
      </c>
      <c r="G709" s="41" t="n">
        <f aca="false">Assumptions!$D$24*(1+Assumptions!$F$24)^((Assumptions!$C$5-Assumptions!$C$4)/365)</f>
        <v>646.340264247885</v>
      </c>
      <c r="H709" s="40" t="n">
        <f aca="false">E709*G709</f>
        <v>16163.1740787425</v>
      </c>
      <c r="I709" s="48" t="n">
        <f aca="false">IF(F709&lt;365,Assumptions!$G$24,IF(F709&lt;=730,Assumptions!$H$24,Assumptions!$I$24))</f>
        <v>0</v>
      </c>
      <c r="J709" s="40" t="n">
        <f aca="false">H709*I709</f>
        <v>0</v>
      </c>
      <c r="K709" s="40" t="n">
        <f aca="false">H709-J709</f>
        <v>16163.1740787425</v>
      </c>
      <c r="L709" s="40" t="n">
        <f aca="false">K709-C709</f>
        <v>8163.17407874248</v>
      </c>
      <c r="M709" s="38" t="str">
        <f aca="false">IF(F709&gt;365,"LTCG","STCG")</f>
        <v>LTCG</v>
      </c>
      <c r="N709" s="48" t="n">
        <f aca="false">IF(M709="LTCG",Assumptions!$C$12,Assumptions!$C$11)</f>
        <v>0.125</v>
      </c>
      <c r="O709" s="38" t="str">
        <f aca="false">IF(M709="STCG",MAX(L709,0)*Assumptions!$C$11,"agg. below")</f>
        <v>agg. below</v>
      </c>
    </row>
    <row r="710" customFormat="false" ht="15" hidden="false" customHeight="false" outlineLevel="1" collapsed="false">
      <c r="A710" s="33" t="str">
        <f aca="false">TEXT(SIP_Fund3_SBISmallcap!B75,"mmm-yyyy")</f>
        <v>Nov-2030</v>
      </c>
      <c r="B710" s="34" t="n">
        <f aca="false">SIP_Fund3_SBISmallcap!B75</f>
        <v>47788</v>
      </c>
      <c r="C710" s="35" t="n">
        <f aca="false">SIP_Fund3_SBISmallcap!C75</f>
        <v>8000</v>
      </c>
      <c r="D710" s="36" t="n">
        <f aca="false">SIP_Fund3_SBISmallcap!H75</f>
        <v>323.538112078298</v>
      </c>
      <c r="E710" s="37" t="n">
        <f aca="false">SIP_Fund3_SBISmallcap!I75</f>
        <v>24.7266077823436</v>
      </c>
      <c r="F710" s="33" t="n">
        <f aca="false">Assumptions!$C$5-B710</f>
        <v>1901</v>
      </c>
      <c r="G710" s="36" t="n">
        <f aca="false">Assumptions!$D$24*(1+Assumptions!$F$24)^((Assumptions!$C$5-Assumptions!$C$4)/365)</f>
        <v>646.340264247885</v>
      </c>
      <c r="H710" s="35" t="n">
        <f aca="false">E710*G710</f>
        <v>15981.8022079938</v>
      </c>
      <c r="I710" s="47" t="n">
        <f aca="false">IF(F710&lt;365,Assumptions!$G$24,IF(F710&lt;=730,Assumptions!$H$24,Assumptions!$I$24))</f>
        <v>0</v>
      </c>
      <c r="J710" s="35" t="n">
        <f aca="false">H710*I710</f>
        <v>0</v>
      </c>
      <c r="K710" s="35" t="n">
        <f aca="false">H710-J710</f>
        <v>15981.8022079938</v>
      </c>
      <c r="L710" s="35" t="n">
        <f aca="false">K710-C710</f>
        <v>7981.80220799378</v>
      </c>
      <c r="M710" s="33" t="str">
        <f aca="false">IF(F710&gt;365,"LTCG","STCG")</f>
        <v>LTCG</v>
      </c>
      <c r="N710" s="47" t="n">
        <f aca="false">IF(M710="LTCG",Assumptions!$C$12,Assumptions!$C$11)</f>
        <v>0.125</v>
      </c>
      <c r="O710" s="33" t="str">
        <f aca="false">IF(M710="STCG",MAX(L710,0)*Assumptions!$C$11,"agg. below")</f>
        <v>agg. below</v>
      </c>
    </row>
    <row r="711" customFormat="false" ht="15" hidden="false" customHeight="false" outlineLevel="1" collapsed="false">
      <c r="A711" s="38" t="str">
        <f aca="false">TEXT(SIP_Fund3_SBISmallcap!B76,"mmm-yyyy")</f>
        <v>Dec-2030</v>
      </c>
      <c r="B711" s="39" t="n">
        <f aca="false">SIP_Fund3_SBISmallcap!B76</f>
        <v>47818</v>
      </c>
      <c r="C711" s="40" t="n">
        <f aca="false">SIP_Fund3_SBISmallcap!C76</f>
        <v>8000</v>
      </c>
      <c r="D711" s="41" t="n">
        <f aca="false">SIP_Fund3_SBISmallcap!H76</f>
        <v>327.090742217172</v>
      </c>
      <c r="E711" s="42" t="n">
        <f aca="false">SIP_Fund3_SBISmallcap!I76</f>
        <v>24.4580447180263</v>
      </c>
      <c r="F711" s="38" t="n">
        <f aca="false">Assumptions!$C$5-B711</f>
        <v>1871</v>
      </c>
      <c r="G711" s="41" t="n">
        <f aca="false">Assumptions!$D$24*(1+Assumptions!$F$24)^((Assumptions!$C$5-Assumptions!$C$4)/365)</f>
        <v>646.340264247885</v>
      </c>
      <c r="H711" s="40" t="n">
        <f aca="false">E711*G711</f>
        <v>15808.2190860357</v>
      </c>
      <c r="I711" s="48" t="n">
        <f aca="false">IF(F711&lt;365,Assumptions!$G$24,IF(F711&lt;=730,Assumptions!$H$24,Assumptions!$I$24))</f>
        <v>0</v>
      </c>
      <c r="J711" s="40" t="n">
        <f aca="false">H711*I711</f>
        <v>0</v>
      </c>
      <c r="K711" s="40" t="n">
        <f aca="false">H711-J711</f>
        <v>15808.2190860357</v>
      </c>
      <c r="L711" s="40" t="n">
        <f aca="false">K711-C711</f>
        <v>7808.21908603568</v>
      </c>
      <c r="M711" s="38" t="str">
        <f aca="false">IF(F711&gt;365,"LTCG","STCG")</f>
        <v>LTCG</v>
      </c>
      <c r="N711" s="48" t="n">
        <f aca="false">IF(M711="LTCG",Assumptions!$C$12,Assumptions!$C$11)</f>
        <v>0.125</v>
      </c>
      <c r="O711" s="38" t="str">
        <f aca="false">IF(M711="STCG",MAX(L711,0)*Assumptions!$C$11,"agg. below")</f>
        <v>agg. below</v>
      </c>
    </row>
    <row r="712" customFormat="false" ht="15" hidden="false" customHeight="false" outlineLevel="1" collapsed="false">
      <c r="A712" s="33" t="str">
        <f aca="false">TEXT(SIP_Fund3_SBISmallcap!B77,"mmm-yyyy")</f>
        <v>Jan-2031</v>
      </c>
      <c r="B712" s="34" t="n">
        <f aca="false">SIP_Fund3_SBISmallcap!B77</f>
        <v>47849</v>
      </c>
      <c r="C712" s="35" t="n">
        <f aca="false">SIP_Fund3_SBISmallcap!C77</f>
        <v>9000</v>
      </c>
      <c r="D712" s="36" t="n">
        <f aca="false">SIP_Fund3_SBISmallcap!H77</f>
        <v>330.802780387113</v>
      </c>
      <c r="E712" s="37" t="n">
        <f aca="false">SIP_Fund3_SBISmallcap!I77</f>
        <v>27.2065427910491</v>
      </c>
      <c r="F712" s="33" t="n">
        <f aca="false">Assumptions!$C$5-B712</f>
        <v>1840</v>
      </c>
      <c r="G712" s="36" t="n">
        <f aca="false">Assumptions!$D$24*(1+Assumptions!$F$24)^((Assumptions!$C$5-Assumptions!$C$4)/365)</f>
        <v>646.340264247885</v>
      </c>
      <c r="H712" s="35" t="n">
        <f aca="false">E712*G712</f>
        <v>17584.6840568381</v>
      </c>
      <c r="I712" s="47" t="n">
        <f aca="false">IF(F712&lt;365,Assumptions!$G$24,IF(F712&lt;=730,Assumptions!$H$24,Assumptions!$I$24))</f>
        <v>0</v>
      </c>
      <c r="J712" s="35" t="n">
        <f aca="false">H712*I712</f>
        <v>0</v>
      </c>
      <c r="K712" s="35" t="n">
        <f aca="false">H712-J712</f>
        <v>17584.6840568381</v>
      </c>
      <c r="L712" s="35" t="n">
        <f aca="false">K712-C712</f>
        <v>8584.68405683807</v>
      </c>
      <c r="M712" s="33" t="str">
        <f aca="false">IF(F712&gt;365,"LTCG","STCG")</f>
        <v>LTCG</v>
      </c>
      <c r="N712" s="47" t="n">
        <f aca="false">IF(M712="LTCG",Assumptions!$C$12,Assumptions!$C$11)</f>
        <v>0.125</v>
      </c>
      <c r="O712" s="33" t="str">
        <f aca="false">IF(M712="STCG",MAX(L712,0)*Assumptions!$C$11,"agg. below")</f>
        <v>agg. below</v>
      </c>
    </row>
    <row r="713" customFormat="false" ht="15" hidden="false" customHeight="false" outlineLevel="1" collapsed="false">
      <c r="A713" s="38" t="str">
        <f aca="false">TEXT(SIP_Fund3_SBISmallcap!B78,"mmm-yyyy")</f>
        <v>Feb-2031</v>
      </c>
      <c r="B713" s="39" t="n">
        <f aca="false">SIP_Fund3_SBISmallcap!B78</f>
        <v>47880</v>
      </c>
      <c r="C713" s="40" t="n">
        <f aca="false">SIP_Fund3_SBISmallcap!C78</f>
        <v>9000</v>
      </c>
      <c r="D713" s="41" t="n">
        <f aca="false">SIP_Fund3_SBISmallcap!H78</f>
        <v>334.556945176968</v>
      </c>
      <c r="E713" s="42" t="n">
        <f aca="false">SIP_Fund3_SBISmallcap!I78</f>
        <v>26.9012499359095</v>
      </c>
      <c r="F713" s="38" t="n">
        <f aca="false">Assumptions!$C$5-B713</f>
        <v>1809</v>
      </c>
      <c r="G713" s="41" t="n">
        <f aca="false">Assumptions!$D$24*(1+Assumptions!$F$24)^((Assumptions!$C$5-Assumptions!$C$4)/365)</f>
        <v>646.340264247885</v>
      </c>
      <c r="H713" s="40" t="n">
        <f aca="false">E713*G713</f>
        <v>17387.3609921742</v>
      </c>
      <c r="I713" s="48" t="n">
        <f aca="false">IF(F713&lt;365,Assumptions!$G$24,IF(F713&lt;=730,Assumptions!$H$24,Assumptions!$I$24))</f>
        <v>0</v>
      </c>
      <c r="J713" s="40" t="n">
        <f aca="false">H713*I713</f>
        <v>0</v>
      </c>
      <c r="K713" s="40" t="n">
        <f aca="false">H713-J713</f>
        <v>17387.3609921742</v>
      </c>
      <c r="L713" s="40" t="n">
        <f aca="false">K713-C713</f>
        <v>8387.36099217417</v>
      </c>
      <c r="M713" s="38" t="str">
        <f aca="false">IF(F713&gt;365,"LTCG","STCG")</f>
        <v>LTCG</v>
      </c>
      <c r="N713" s="48" t="n">
        <f aca="false">IF(M713="LTCG",Assumptions!$C$12,Assumptions!$C$11)</f>
        <v>0.125</v>
      </c>
      <c r="O713" s="38" t="str">
        <f aca="false">IF(M713="STCG",MAX(L713,0)*Assumptions!$C$11,"agg. below")</f>
        <v>agg. below</v>
      </c>
    </row>
    <row r="714" customFormat="false" ht="15" hidden="false" customHeight="false" outlineLevel="1" collapsed="false">
      <c r="A714" s="33" t="str">
        <f aca="false">TEXT(SIP_Fund3_SBISmallcap!B79,"mmm-yyyy")</f>
        <v>Mar-2031</v>
      </c>
      <c r="B714" s="34" t="n">
        <f aca="false">SIP_Fund3_SBISmallcap!B79</f>
        <v>47908</v>
      </c>
      <c r="C714" s="35" t="n">
        <f aca="false">SIP_Fund3_SBISmallcap!C79</f>
        <v>9000</v>
      </c>
      <c r="D714" s="36" t="n">
        <f aca="false">SIP_Fund3_SBISmallcap!H79</f>
        <v>337.98440998106</v>
      </c>
      <c r="E714" s="37" t="n">
        <f aca="false">SIP_Fund3_SBISmallcap!I79</f>
        <v>26.6284471538327</v>
      </c>
      <c r="F714" s="33" t="n">
        <f aca="false">Assumptions!$C$5-B714</f>
        <v>1781</v>
      </c>
      <c r="G714" s="36" t="n">
        <f aca="false">Assumptions!$D$24*(1+Assumptions!$F$24)^((Assumptions!$C$5-Assumptions!$C$4)/365)</f>
        <v>646.340264247885</v>
      </c>
      <c r="H714" s="35" t="n">
        <f aca="false">E714*G714</f>
        <v>17211.0375699191</v>
      </c>
      <c r="I714" s="47" t="n">
        <f aca="false">IF(F714&lt;365,Assumptions!$G$24,IF(F714&lt;=730,Assumptions!$H$24,Assumptions!$I$24))</f>
        <v>0</v>
      </c>
      <c r="J714" s="35" t="n">
        <f aca="false">H714*I714</f>
        <v>0</v>
      </c>
      <c r="K714" s="35" t="n">
        <f aca="false">H714-J714</f>
        <v>17211.0375699191</v>
      </c>
      <c r="L714" s="35" t="n">
        <f aca="false">K714-C714</f>
        <v>8211.03756991909</v>
      </c>
      <c r="M714" s="33" t="str">
        <f aca="false">IF(F714&gt;365,"LTCG","STCG")</f>
        <v>LTCG</v>
      </c>
      <c r="N714" s="47" t="n">
        <f aca="false">IF(M714="LTCG",Assumptions!$C$12,Assumptions!$C$11)</f>
        <v>0.125</v>
      </c>
      <c r="O714" s="33" t="str">
        <f aca="false">IF(M714="STCG",MAX(L714,0)*Assumptions!$C$11,"agg. below")</f>
        <v>agg. below</v>
      </c>
    </row>
    <row r="715" customFormat="false" ht="15" hidden="false" customHeight="false" outlineLevel="1" collapsed="false">
      <c r="A715" s="38" t="str">
        <f aca="false">TEXT(SIP_Fund3_SBISmallcap!B80,"mmm-yyyy")</f>
        <v>Apr-2031</v>
      </c>
      <c r="B715" s="39" t="n">
        <f aca="false">SIP_Fund3_SBISmallcap!B80</f>
        <v>47939</v>
      </c>
      <c r="C715" s="40" t="n">
        <f aca="false">SIP_Fund3_SBISmallcap!C80</f>
        <v>9000</v>
      </c>
      <c r="D715" s="41" t="n">
        <f aca="false">SIP_Fund3_SBISmallcap!H80</f>
        <v>341.820076567617</v>
      </c>
      <c r="E715" s="42" t="n">
        <f aca="false">SIP_Fund3_SBISmallcap!I80</f>
        <v>26.329641284893</v>
      </c>
      <c r="F715" s="38" t="n">
        <f aca="false">Assumptions!$C$5-B715</f>
        <v>1750</v>
      </c>
      <c r="G715" s="41" t="n">
        <f aca="false">Assumptions!$D$24*(1+Assumptions!$F$24)^((Assumptions!$C$5-Assumptions!$C$4)/365)</f>
        <v>646.340264247885</v>
      </c>
      <c r="H715" s="40" t="n">
        <f aca="false">E715*G715</f>
        <v>17017.9073056297</v>
      </c>
      <c r="I715" s="48" t="n">
        <f aca="false">IF(F715&lt;365,Assumptions!$G$24,IF(F715&lt;=730,Assumptions!$H$24,Assumptions!$I$24))</f>
        <v>0</v>
      </c>
      <c r="J715" s="40" t="n">
        <f aca="false">H715*I715</f>
        <v>0</v>
      </c>
      <c r="K715" s="40" t="n">
        <f aca="false">H715-J715</f>
        <v>17017.9073056297</v>
      </c>
      <c r="L715" s="40" t="n">
        <f aca="false">K715-C715</f>
        <v>8017.90730562974</v>
      </c>
      <c r="M715" s="38" t="str">
        <f aca="false">IF(F715&gt;365,"LTCG","STCG")</f>
        <v>LTCG</v>
      </c>
      <c r="N715" s="48" t="n">
        <f aca="false">IF(M715="LTCG",Assumptions!$C$12,Assumptions!$C$11)</f>
        <v>0.125</v>
      </c>
      <c r="O715" s="38" t="str">
        <f aca="false">IF(M715="STCG",MAX(L715,0)*Assumptions!$C$11,"agg. below")</f>
        <v>agg. below</v>
      </c>
    </row>
    <row r="716" customFormat="false" ht="15" hidden="false" customHeight="false" outlineLevel="1" collapsed="false">
      <c r="A716" s="33" t="str">
        <f aca="false">TEXT(SIP_Fund3_SBISmallcap!B81,"mmm-yyyy")</f>
        <v>May-2031</v>
      </c>
      <c r="B716" s="34" t="n">
        <f aca="false">SIP_Fund3_SBISmallcap!B81</f>
        <v>47969</v>
      </c>
      <c r="C716" s="35" t="n">
        <f aca="false">SIP_Fund3_SBISmallcap!C81</f>
        <v>9000</v>
      </c>
      <c r="D716" s="36" t="n">
        <f aca="false">SIP_Fund3_SBISmallcap!H81</f>
        <v>345.573452941998</v>
      </c>
      <c r="E716" s="37" t="n">
        <f aca="false">SIP_Fund3_SBISmallcap!I81</f>
        <v>26.0436671954387</v>
      </c>
      <c r="F716" s="33" t="n">
        <f aca="false">Assumptions!$C$5-B716</f>
        <v>1720</v>
      </c>
      <c r="G716" s="36" t="n">
        <f aca="false">Assumptions!$D$24*(1+Assumptions!$F$24)^((Assumptions!$C$5-Assumptions!$C$4)/365)</f>
        <v>646.340264247885</v>
      </c>
      <c r="H716" s="35" t="n">
        <f aca="false">E716*G716</f>
        <v>16833.0707370838</v>
      </c>
      <c r="I716" s="47" t="n">
        <f aca="false">IF(F716&lt;365,Assumptions!$G$24,IF(F716&lt;=730,Assumptions!$H$24,Assumptions!$I$24))</f>
        <v>0</v>
      </c>
      <c r="J716" s="35" t="n">
        <f aca="false">H716*I716</f>
        <v>0</v>
      </c>
      <c r="K716" s="35" t="n">
        <f aca="false">H716-J716</f>
        <v>16833.0707370838</v>
      </c>
      <c r="L716" s="35" t="n">
        <f aca="false">K716-C716</f>
        <v>7833.07073708384</v>
      </c>
      <c r="M716" s="33" t="str">
        <f aca="false">IF(F716&gt;365,"LTCG","STCG")</f>
        <v>LTCG</v>
      </c>
      <c r="N716" s="47" t="n">
        <f aca="false">IF(M716="LTCG",Assumptions!$C$12,Assumptions!$C$11)</f>
        <v>0.125</v>
      </c>
      <c r="O716" s="33" t="str">
        <f aca="false">IF(M716="STCG",MAX(L716,0)*Assumptions!$C$11,"agg. below")</f>
        <v>agg. below</v>
      </c>
    </row>
    <row r="717" customFormat="false" ht="15" hidden="false" customHeight="false" outlineLevel="1" collapsed="false">
      <c r="A717" s="38" t="str">
        <f aca="false">TEXT(SIP_Fund3_SBISmallcap!B82,"mmm-yyyy")</f>
        <v>Jun-2031</v>
      </c>
      <c r="B717" s="39" t="n">
        <f aca="false">SIP_Fund3_SBISmallcap!B82</f>
        <v>48000</v>
      </c>
      <c r="C717" s="40" t="n">
        <f aca="false">SIP_Fund3_SBISmallcap!C82</f>
        <v>9000</v>
      </c>
      <c r="D717" s="41" t="n">
        <f aca="false">SIP_Fund3_SBISmallcap!H82</f>
        <v>349.495244916737</v>
      </c>
      <c r="E717" s="42" t="n">
        <f aca="false">SIP_Fund3_SBISmallcap!I82</f>
        <v>25.7514233194908</v>
      </c>
      <c r="F717" s="38" t="n">
        <f aca="false">Assumptions!$C$5-B717</f>
        <v>1689</v>
      </c>
      <c r="G717" s="41" t="n">
        <f aca="false">Assumptions!$D$24*(1+Assumptions!$F$24)^((Assumptions!$C$5-Assumptions!$C$4)/365)</f>
        <v>646.340264247885</v>
      </c>
      <c r="H717" s="40" t="n">
        <f aca="false">E717*G717</f>
        <v>16644.1817530788</v>
      </c>
      <c r="I717" s="48" t="n">
        <f aca="false">IF(F717&lt;365,Assumptions!$G$24,IF(F717&lt;=730,Assumptions!$H$24,Assumptions!$I$24))</f>
        <v>0</v>
      </c>
      <c r="J717" s="40" t="n">
        <f aca="false">H717*I717</f>
        <v>0</v>
      </c>
      <c r="K717" s="40" t="n">
        <f aca="false">H717-J717</f>
        <v>16644.1817530788</v>
      </c>
      <c r="L717" s="40" t="n">
        <f aca="false">K717-C717</f>
        <v>7644.18175307881</v>
      </c>
      <c r="M717" s="38" t="str">
        <f aca="false">IF(F717&gt;365,"LTCG","STCG")</f>
        <v>LTCG</v>
      </c>
      <c r="N717" s="48" t="n">
        <f aca="false">IF(M717="LTCG",Assumptions!$C$12,Assumptions!$C$11)</f>
        <v>0.125</v>
      </c>
      <c r="O717" s="38" t="str">
        <f aca="false">IF(M717="STCG",MAX(L717,0)*Assumptions!$C$11,"agg. below")</f>
        <v>agg. below</v>
      </c>
    </row>
    <row r="718" customFormat="false" ht="15" hidden="false" customHeight="false" outlineLevel="1" collapsed="false">
      <c r="A718" s="33" t="str">
        <f aca="false">TEXT(SIP_Fund3_SBISmallcap!B83,"mmm-yyyy")</f>
        <v>Jul-2031</v>
      </c>
      <c r="B718" s="34" t="n">
        <f aca="false">SIP_Fund3_SBISmallcap!B83</f>
        <v>48030</v>
      </c>
      <c r="C718" s="35" t="n">
        <f aca="false">SIP_Fund3_SBISmallcap!C83</f>
        <v>9000</v>
      </c>
      <c r="D718" s="36" t="n">
        <f aca="false">SIP_Fund3_SBISmallcap!H83</f>
        <v>353.332898949236</v>
      </c>
      <c r="E718" s="37" t="n">
        <f aca="false">SIP_Fund3_SBISmallcap!I83</f>
        <v>25.4717294278703</v>
      </c>
      <c r="F718" s="33" t="n">
        <f aca="false">Assumptions!$C$5-B718</f>
        <v>1659</v>
      </c>
      <c r="G718" s="36" t="n">
        <f aca="false">Assumptions!$D$24*(1+Assumptions!$F$24)^((Assumptions!$C$5-Assumptions!$C$4)/365)</f>
        <v>646.340264247885</v>
      </c>
      <c r="H718" s="35" t="n">
        <f aca="false">E718*G718</f>
        <v>16463.4043292603</v>
      </c>
      <c r="I718" s="47" t="n">
        <f aca="false">IF(F718&lt;365,Assumptions!$G$24,IF(F718&lt;=730,Assumptions!$H$24,Assumptions!$I$24))</f>
        <v>0</v>
      </c>
      <c r="J718" s="35" t="n">
        <f aca="false">H718*I718</f>
        <v>0</v>
      </c>
      <c r="K718" s="35" t="n">
        <f aca="false">H718-J718</f>
        <v>16463.4043292603</v>
      </c>
      <c r="L718" s="35" t="n">
        <f aca="false">K718-C718</f>
        <v>7463.40432926034</v>
      </c>
      <c r="M718" s="33" t="str">
        <f aca="false">IF(F718&gt;365,"LTCG","STCG")</f>
        <v>LTCG</v>
      </c>
      <c r="N718" s="47" t="n">
        <f aca="false">IF(M718="LTCG",Assumptions!$C$12,Assumptions!$C$11)</f>
        <v>0.125</v>
      </c>
      <c r="O718" s="33" t="str">
        <f aca="false">IF(M718="STCG",MAX(L718,0)*Assumptions!$C$11,"agg. below")</f>
        <v>agg. below</v>
      </c>
    </row>
    <row r="719" customFormat="false" ht="15" hidden="false" customHeight="false" outlineLevel="1" collapsed="false">
      <c r="A719" s="38" t="str">
        <f aca="false">TEXT(SIP_Fund3_SBISmallcap!B84,"mmm-yyyy")</f>
        <v>Aug-2031</v>
      </c>
      <c r="B719" s="39" t="n">
        <f aca="false">SIP_Fund3_SBISmallcap!B84</f>
        <v>48061</v>
      </c>
      <c r="C719" s="40" t="n">
        <f aca="false">SIP_Fund3_SBISmallcap!C84</f>
        <v>9000</v>
      </c>
      <c r="D719" s="41" t="n">
        <f aca="false">SIP_Fund3_SBISmallcap!H84</f>
        <v>357.342750156595</v>
      </c>
      <c r="E719" s="42" t="n">
        <f aca="false">SIP_Fund3_SBISmallcap!I84</f>
        <v>25.1859034388022</v>
      </c>
      <c r="F719" s="38" t="n">
        <f aca="false">Assumptions!$C$5-B719</f>
        <v>1628</v>
      </c>
      <c r="G719" s="41" t="n">
        <f aca="false">Assumptions!$D$24*(1+Assumptions!$F$24)^((Assumptions!$C$5-Assumptions!$C$4)/365)</f>
        <v>646.340264247885</v>
      </c>
      <c r="H719" s="40" t="n">
        <f aca="false">E719*G719</f>
        <v>16278.6634839571</v>
      </c>
      <c r="I719" s="48" t="n">
        <f aca="false">IF(F719&lt;365,Assumptions!$G$24,IF(F719&lt;=730,Assumptions!$H$24,Assumptions!$I$24))</f>
        <v>0</v>
      </c>
      <c r="J719" s="40" t="n">
        <f aca="false">H719*I719</f>
        <v>0</v>
      </c>
      <c r="K719" s="40" t="n">
        <f aca="false">H719-J719</f>
        <v>16278.6634839571</v>
      </c>
      <c r="L719" s="40" t="n">
        <f aca="false">K719-C719</f>
        <v>7278.6634839571</v>
      </c>
      <c r="M719" s="38" t="str">
        <f aca="false">IF(F719&gt;365,"LTCG","STCG")</f>
        <v>LTCG</v>
      </c>
      <c r="N719" s="48" t="n">
        <f aca="false">IF(M719="LTCG",Assumptions!$C$12,Assumptions!$C$11)</f>
        <v>0.125</v>
      </c>
      <c r="O719" s="38" t="str">
        <f aca="false">IF(M719="STCG",MAX(L719,0)*Assumptions!$C$11,"agg. below")</f>
        <v>agg. below</v>
      </c>
    </row>
    <row r="720" customFormat="false" ht="15" hidden="false" customHeight="false" outlineLevel="1" collapsed="false">
      <c r="A720" s="33" t="str">
        <f aca="false">TEXT(SIP_Fund3_SBISmallcap!B85,"mmm-yyyy")</f>
        <v>Sep-2031</v>
      </c>
      <c r="B720" s="34" t="n">
        <f aca="false">SIP_Fund3_SBISmallcap!B85</f>
        <v>48092</v>
      </c>
      <c r="C720" s="35" t="n">
        <f aca="false">SIP_Fund3_SBISmallcap!C85</f>
        <v>9000</v>
      </c>
      <c r="D720" s="36" t="n">
        <f aca="false">SIP_Fund3_SBISmallcap!H85</f>
        <v>361.39810775963</v>
      </c>
      <c r="E720" s="37" t="n">
        <f aca="false">SIP_Fund3_SBISmallcap!I85</f>
        <v>24.903284789709</v>
      </c>
      <c r="F720" s="33" t="n">
        <f aca="false">Assumptions!$C$5-B720</f>
        <v>1597</v>
      </c>
      <c r="G720" s="36" t="n">
        <f aca="false">Assumptions!$D$24*(1+Assumptions!$F$24)^((Assumptions!$C$5-Assumptions!$C$4)/365)</f>
        <v>646.340264247885</v>
      </c>
      <c r="H720" s="35" t="n">
        <f aca="false">E720*G720</f>
        <v>16095.9956716209</v>
      </c>
      <c r="I720" s="47" t="n">
        <f aca="false">IF(F720&lt;365,Assumptions!$G$24,IF(F720&lt;=730,Assumptions!$H$24,Assumptions!$I$24))</f>
        <v>0</v>
      </c>
      <c r="J720" s="35" t="n">
        <f aca="false">H720*I720</f>
        <v>0</v>
      </c>
      <c r="K720" s="35" t="n">
        <f aca="false">H720-J720</f>
        <v>16095.9956716209</v>
      </c>
      <c r="L720" s="35" t="n">
        <f aca="false">K720-C720</f>
        <v>7095.99567162085</v>
      </c>
      <c r="M720" s="33" t="str">
        <f aca="false">IF(F720&gt;365,"LTCG","STCG")</f>
        <v>LTCG</v>
      </c>
      <c r="N720" s="47" t="n">
        <f aca="false">IF(M720="LTCG",Assumptions!$C$12,Assumptions!$C$11)</f>
        <v>0.125</v>
      </c>
      <c r="O720" s="33" t="str">
        <f aca="false">IF(M720="STCG",MAX(L720,0)*Assumptions!$C$11,"agg. below")</f>
        <v>agg. below</v>
      </c>
    </row>
    <row r="721" customFormat="false" ht="15" hidden="false" customHeight="false" outlineLevel="1" collapsed="false">
      <c r="A721" s="38" t="str">
        <f aca="false">TEXT(SIP_Fund3_SBISmallcap!B86,"mmm-yyyy")</f>
        <v>Oct-2031</v>
      </c>
      <c r="B721" s="39" t="n">
        <f aca="false">SIP_Fund3_SBISmallcap!B86</f>
        <v>48122</v>
      </c>
      <c r="C721" s="40" t="n">
        <f aca="false">SIP_Fund3_SBISmallcap!C86</f>
        <v>9000</v>
      </c>
      <c r="D721" s="41" t="n">
        <f aca="false">SIP_Fund3_SBISmallcap!H86</f>
        <v>365.366461909661</v>
      </c>
      <c r="E721" s="42" t="n">
        <f aca="false">SIP_Fund3_SBISmallcap!I86</f>
        <v>24.632802783703</v>
      </c>
      <c r="F721" s="38" t="n">
        <f aca="false">Assumptions!$C$5-B721</f>
        <v>1567</v>
      </c>
      <c r="G721" s="41" t="n">
        <f aca="false">Assumptions!$D$24*(1+Assumptions!$F$24)^((Assumptions!$C$5-Assumptions!$C$4)/365)</f>
        <v>646.340264247885</v>
      </c>
      <c r="H721" s="40" t="n">
        <f aca="false">E721*G721</f>
        <v>15921.1722603846</v>
      </c>
      <c r="I721" s="48" t="n">
        <f aca="false">IF(F721&lt;365,Assumptions!$G$24,IF(F721&lt;=730,Assumptions!$H$24,Assumptions!$I$24))</f>
        <v>0</v>
      </c>
      <c r="J721" s="40" t="n">
        <f aca="false">H721*I721</f>
        <v>0</v>
      </c>
      <c r="K721" s="40" t="n">
        <f aca="false">H721-J721</f>
        <v>15921.1722603846</v>
      </c>
      <c r="L721" s="40" t="n">
        <f aca="false">K721-C721</f>
        <v>6921.17226038463</v>
      </c>
      <c r="M721" s="38" t="str">
        <f aca="false">IF(F721&gt;365,"LTCG","STCG")</f>
        <v>LTCG</v>
      </c>
      <c r="N721" s="48" t="n">
        <f aca="false">IF(M721="LTCG",Assumptions!$C$12,Assumptions!$C$11)</f>
        <v>0.125</v>
      </c>
      <c r="O721" s="38" t="str">
        <f aca="false">IF(M721="STCG",MAX(L721,0)*Assumptions!$C$11,"agg. below")</f>
        <v>agg. below</v>
      </c>
    </row>
    <row r="722" customFormat="false" ht="15" hidden="false" customHeight="false" outlineLevel="1" collapsed="false">
      <c r="A722" s="33" t="str">
        <f aca="false">TEXT(SIP_Fund3_SBISmallcap!B87,"mmm-yyyy")</f>
        <v>Nov-2031</v>
      </c>
      <c r="B722" s="34" t="n">
        <f aca="false">SIP_Fund3_SBISmallcap!B87</f>
        <v>48153</v>
      </c>
      <c r="C722" s="35" t="n">
        <f aca="false">SIP_Fund3_SBISmallcap!C87</f>
        <v>9000</v>
      </c>
      <c r="D722" s="36" t="n">
        <f aca="false">SIP_Fund3_SBISmallcap!H87</f>
        <v>369.512877804624</v>
      </c>
      <c r="E722" s="37" t="n">
        <f aca="false">SIP_Fund3_SBISmallcap!I87</f>
        <v>24.3563906445465</v>
      </c>
      <c r="F722" s="33" t="n">
        <f aca="false">Assumptions!$C$5-B722</f>
        <v>1536</v>
      </c>
      <c r="G722" s="36" t="n">
        <f aca="false">Assumptions!$D$24*(1+Assumptions!$F$24)^((Assumptions!$C$5-Assumptions!$C$4)/365)</f>
        <v>646.340264247885</v>
      </c>
      <c r="H722" s="35" t="n">
        <f aca="false">E722*G722</f>
        <v>15742.5159653209</v>
      </c>
      <c r="I722" s="47" t="n">
        <f aca="false">IF(F722&lt;365,Assumptions!$G$24,IF(F722&lt;=730,Assumptions!$H$24,Assumptions!$I$24))</f>
        <v>0</v>
      </c>
      <c r="J722" s="35" t="n">
        <f aca="false">H722*I722</f>
        <v>0</v>
      </c>
      <c r="K722" s="35" t="n">
        <f aca="false">H722-J722</f>
        <v>15742.5159653209</v>
      </c>
      <c r="L722" s="35" t="n">
        <f aca="false">K722-C722</f>
        <v>6742.5159653209</v>
      </c>
      <c r="M722" s="33" t="str">
        <f aca="false">IF(F722&gt;365,"LTCG","STCG")</f>
        <v>LTCG</v>
      </c>
      <c r="N722" s="47" t="n">
        <f aca="false">IF(M722="LTCG",Assumptions!$C$12,Assumptions!$C$11)</f>
        <v>0.125</v>
      </c>
      <c r="O722" s="33" t="str">
        <f aca="false">IF(M722="STCG",MAX(L722,0)*Assumptions!$C$11,"agg. below")</f>
        <v>agg. below</v>
      </c>
    </row>
    <row r="723" customFormat="false" ht="15" hidden="false" customHeight="false" outlineLevel="1" collapsed="false">
      <c r="A723" s="38" t="str">
        <f aca="false">TEXT(SIP_Fund3_SBISmallcap!B88,"mmm-yyyy")</f>
        <v>Dec-2031</v>
      </c>
      <c r="B723" s="39" t="n">
        <f aca="false">SIP_Fund3_SBISmallcap!B88</f>
        <v>48183</v>
      </c>
      <c r="C723" s="40" t="n">
        <f aca="false">SIP_Fund3_SBISmallcap!C88</f>
        <v>9000</v>
      </c>
      <c r="D723" s="41" t="n">
        <f aca="false">SIP_Fund3_SBISmallcap!H88</f>
        <v>373.570336686233</v>
      </c>
      <c r="E723" s="42" t="n">
        <f aca="false">SIP_Fund3_SBISmallcap!I88</f>
        <v>24.0918486190172</v>
      </c>
      <c r="F723" s="38" t="n">
        <f aca="false">Assumptions!$C$5-B723</f>
        <v>1506</v>
      </c>
      <c r="G723" s="41" t="n">
        <f aca="false">Assumptions!$D$24*(1+Assumptions!$F$24)^((Assumptions!$C$5-Assumptions!$C$4)/365)</f>
        <v>646.340264247885</v>
      </c>
      <c r="H723" s="40" t="n">
        <f aca="false">E723*G723</f>
        <v>15571.5318026356</v>
      </c>
      <c r="I723" s="48" t="n">
        <f aca="false">IF(F723&lt;365,Assumptions!$G$24,IF(F723&lt;=730,Assumptions!$H$24,Assumptions!$I$24))</f>
        <v>0</v>
      </c>
      <c r="J723" s="40" t="n">
        <f aca="false">H723*I723</f>
        <v>0</v>
      </c>
      <c r="K723" s="40" t="n">
        <f aca="false">H723-J723</f>
        <v>15571.5318026356</v>
      </c>
      <c r="L723" s="40" t="n">
        <f aca="false">K723-C723</f>
        <v>6571.53180263561</v>
      </c>
      <c r="M723" s="38" t="str">
        <f aca="false">IF(F723&gt;365,"LTCG","STCG")</f>
        <v>LTCG</v>
      </c>
      <c r="N723" s="48" t="n">
        <f aca="false">IF(M723="LTCG",Assumptions!$C$12,Assumptions!$C$11)</f>
        <v>0.125</v>
      </c>
      <c r="O723" s="38" t="str">
        <f aca="false">IF(M723="STCG",MAX(L723,0)*Assumptions!$C$11,"agg. below")</f>
        <v>agg. below</v>
      </c>
    </row>
    <row r="724" customFormat="false" ht="15" hidden="false" customHeight="false" outlineLevel="1" collapsed="false">
      <c r="A724" s="33" t="str">
        <f aca="false">TEXT(SIP_Fund3_SBISmallcap!B89,"mmm-yyyy")</f>
        <v>Jan-2032</v>
      </c>
      <c r="B724" s="34" t="n">
        <f aca="false">SIP_Fund3_SBISmallcap!B89</f>
        <v>48214</v>
      </c>
      <c r="C724" s="35" t="n">
        <f aca="false">SIP_Fund3_SBISmallcap!C89</f>
        <v>10000</v>
      </c>
      <c r="D724" s="36" t="n">
        <f aca="false">SIP_Fund3_SBISmallcap!H89</f>
        <v>377.809855480121</v>
      </c>
      <c r="E724" s="37" t="n">
        <f aca="false">SIP_Fund3_SBISmallcap!I89</f>
        <v>26.4683407670559</v>
      </c>
      <c r="F724" s="33" t="n">
        <f aca="false">Assumptions!$C$5-B724</f>
        <v>1475</v>
      </c>
      <c r="G724" s="36" t="n">
        <f aca="false">Assumptions!$D$24*(1+Assumptions!$F$24)^((Assumptions!$C$5-Assumptions!$C$4)/365)</f>
        <v>646.340264247885</v>
      </c>
      <c r="H724" s="35" t="n">
        <f aca="false">E724*G724</f>
        <v>17107.554365582</v>
      </c>
      <c r="I724" s="47" t="n">
        <f aca="false">IF(F724&lt;365,Assumptions!$G$24,IF(F724&lt;=730,Assumptions!$H$24,Assumptions!$I$24))</f>
        <v>0</v>
      </c>
      <c r="J724" s="35" t="n">
        <f aca="false">H724*I724</f>
        <v>0</v>
      </c>
      <c r="K724" s="35" t="n">
        <f aca="false">H724-J724</f>
        <v>17107.554365582</v>
      </c>
      <c r="L724" s="35" t="n">
        <f aca="false">K724-C724</f>
        <v>7107.55436558198</v>
      </c>
      <c r="M724" s="33" t="str">
        <f aca="false">IF(F724&gt;365,"LTCG","STCG")</f>
        <v>LTCG</v>
      </c>
      <c r="N724" s="47" t="n">
        <f aca="false">IF(M724="LTCG",Assumptions!$C$12,Assumptions!$C$11)</f>
        <v>0.125</v>
      </c>
      <c r="O724" s="33" t="str">
        <f aca="false">IF(M724="STCG",MAX(L724,0)*Assumptions!$C$11,"agg. below")</f>
        <v>agg. below</v>
      </c>
    </row>
    <row r="725" customFormat="false" ht="15" hidden="false" customHeight="false" outlineLevel="1" collapsed="false">
      <c r="A725" s="38" t="str">
        <f aca="false">TEXT(SIP_Fund3_SBISmallcap!B90,"mmm-yyyy")</f>
        <v>Feb-2032</v>
      </c>
      <c r="B725" s="39" t="n">
        <f aca="false">SIP_Fund3_SBISmallcap!B90</f>
        <v>48245</v>
      </c>
      <c r="C725" s="40" t="n">
        <f aca="false">SIP_Fund3_SBISmallcap!C90</f>
        <v>10000</v>
      </c>
      <c r="D725" s="41" t="n">
        <f aca="false">SIP_Fund3_SBISmallcap!H90</f>
        <v>382.097487086615</v>
      </c>
      <c r="E725" s="42" t="n">
        <f aca="false">SIP_Fund3_SBISmallcap!I90</f>
        <v>26.1713315003644</v>
      </c>
      <c r="F725" s="38" t="n">
        <f aca="false">Assumptions!$C$5-B725</f>
        <v>1444</v>
      </c>
      <c r="G725" s="41" t="n">
        <f aca="false">Assumptions!$D$24*(1+Assumptions!$F$24)^((Assumptions!$C$5-Assumptions!$C$4)/365)</f>
        <v>646.340264247885</v>
      </c>
      <c r="H725" s="40" t="n">
        <f aca="false">E725*G725</f>
        <v>16915.5853176645</v>
      </c>
      <c r="I725" s="48" t="n">
        <f aca="false">IF(F725&lt;365,Assumptions!$G$24,IF(F725&lt;=730,Assumptions!$H$24,Assumptions!$I$24))</f>
        <v>0</v>
      </c>
      <c r="J725" s="40" t="n">
        <f aca="false">H725*I725</f>
        <v>0</v>
      </c>
      <c r="K725" s="40" t="n">
        <f aca="false">H725-J725</f>
        <v>16915.5853176645</v>
      </c>
      <c r="L725" s="40" t="n">
        <f aca="false">K725-C725</f>
        <v>6915.5853176645</v>
      </c>
      <c r="M725" s="38" t="str">
        <f aca="false">IF(F725&gt;365,"LTCG","STCG")</f>
        <v>LTCG</v>
      </c>
      <c r="N725" s="48" t="n">
        <f aca="false">IF(M725="LTCG",Assumptions!$C$12,Assumptions!$C$11)</f>
        <v>0.125</v>
      </c>
      <c r="O725" s="38" t="str">
        <f aca="false">IF(M725="STCG",MAX(L725,0)*Assumptions!$C$11,"agg. below")</f>
        <v>agg. below</v>
      </c>
    </row>
    <row r="726" customFormat="false" ht="15" hidden="false" customHeight="false" outlineLevel="1" collapsed="false">
      <c r="A726" s="33" t="str">
        <f aca="false">TEXT(SIP_Fund3_SBISmallcap!B91,"mmm-yyyy")</f>
        <v>Mar-2032</v>
      </c>
      <c r="B726" s="34" t="n">
        <f aca="false">SIP_Fund3_SBISmallcap!B91</f>
        <v>48274</v>
      </c>
      <c r="C726" s="35" t="n">
        <f aca="false">SIP_Fund3_SBISmallcap!C91</f>
        <v>10000</v>
      </c>
      <c r="D726" s="36" t="n">
        <f aca="false">SIP_Fund3_SBISmallcap!H91</f>
        <v>386.152537756741</v>
      </c>
      <c r="E726" s="37" t="n">
        <f aca="false">SIP_Fund3_SBISmallcap!I91</f>
        <v>25.8965020872129</v>
      </c>
      <c r="F726" s="33" t="n">
        <f aca="false">Assumptions!$C$5-B726</f>
        <v>1415</v>
      </c>
      <c r="G726" s="36" t="n">
        <f aca="false">Assumptions!$D$24*(1+Assumptions!$F$24)^((Assumptions!$C$5-Assumptions!$C$4)/365)</f>
        <v>646.340264247885</v>
      </c>
      <c r="H726" s="35" t="n">
        <f aca="false">E726*G726</f>
        <v>16737.9520021451</v>
      </c>
      <c r="I726" s="47" t="n">
        <f aca="false">IF(F726&lt;365,Assumptions!$G$24,IF(F726&lt;=730,Assumptions!$H$24,Assumptions!$I$24))</f>
        <v>0</v>
      </c>
      <c r="J726" s="35" t="n">
        <f aca="false">H726*I726</f>
        <v>0</v>
      </c>
      <c r="K726" s="35" t="n">
        <f aca="false">H726-J726</f>
        <v>16737.9520021451</v>
      </c>
      <c r="L726" s="35" t="n">
        <f aca="false">K726-C726</f>
        <v>6737.95200214508</v>
      </c>
      <c r="M726" s="33" t="str">
        <f aca="false">IF(F726&gt;365,"LTCG","STCG")</f>
        <v>LTCG</v>
      </c>
      <c r="N726" s="47" t="n">
        <f aca="false">IF(M726="LTCG",Assumptions!$C$12,Assumptions!$C$11)</f>
        <v>0.125</v>
      </c>
      <c r="O726" s="33" t="str">
        <f aca="false">IF(M726="STCG",MAX(L726,0)*Assumptions!$C$11,"agg. below")</f>
        <v>agg. below</v>
      </c>
    </row>
    <row r="727" customFormat="false" ht="15" hidden="false" customHeight="false" outlineLevel="1" collapsed="false">
      <c r="A727" s="38" t="str">
        <f aca="false">TEXT(SIP_Fund3_SBISmallcap!B92,"mmm-yyyy")</f>
        <v>Apr-2032</v>
      </c>
      <c r="B727" s="39" t="n">
        <f aca="false">SIP_Fund3_SBISmallcap!B92</f>
        <v>48305</v>
      </c>
      <c r="C727" s="40" t="n">
        <f aca="false">SIP_Fund3_SBISmallcap!C92</f>
        <v>10000</v>
      </c>
      <c r="D727" s="41" t="n">
        <f aca="false">SIP_Fund3_SBISmallcap!H92</f>
        <v>390.534847539818</v>
      </c>
      <c r="E727" s="42" t="n">
        <f aca="false">SIP_Fund3_SBISmallcap!I92</f>
        <v>25.6059095955078</v>
      </c>
      <c r="F727" s="38" t="n">
        <f aca="false">Assumptions!$C$5-B727</f>
        <v>1384</v>
      </c>
      <c r="G727" s="41" t="n">
        <f aca="false">Assumptions!$D$24*(1+Assumptions!$F$24)^((Assumptions!$C$5-Assumptions!$C$4)/365)</f>
        <v>646.340264247885</v>
      </c>
      <c r="H727" s="40" t="n">
        <f aca="false">E727*G727</f>
        <v>16550.1303742679</v>
      </c>
      <c r="I727" s="48" t="n">
        <f aca="false">IF(F727&lt;365,Assumptions!$G$24,IF(F727&lt;=730,Assumptions!$H$24,Assumptions!$I$24))</f>
        <v>0</v>
      </c>
      <c r="J727" s="40" t="n">
        <f aca="false">H727*I727</f>
        <v>0</v>
      </c>
      <c r="K727" s="40" t="n">
        <f aca="false">H727-J727</f>
        <v>16550.1303742679</v>
      </c>
      <c r="L727" s="40" t="n">
        <f aca="false">K727-C727</f>
        <v>6550.13037426794</v>
      </c>
      <c r="M727" s="38" t="str">
        <f aca="false">IF(F727&gt;365,"LTCG","STCG")</f>
        <v>LTCG</v>
      </c>
      <c r="N727" s="48" t="n">
        <f aca="false">IF(M727="LTCG",Assumptions!$C$12,Assumptions!$C$11)</f>
        <v>0.125</v>
      </c>
      <c r="O727" s="38" t="str">
        <f aca="false">IF(M727="STCG",MAX(L727,0)*Assumptions!$C$11,"agg. below")</f>
        <v>agg. below</v>
      </c>
    </row>
    <row r="728" customFormat="false" ht="15" hidden="false" customHeight="false" outlineLevel="1" collapsed="false">
      <c r="A728" s="33" t="str">
        <f aca="false">TEXT(SIP_Fund3_SBISmallcap!B93,"mmm-yyyy")</f>
        <v>May-2032</v>
      </c>
      <c r="B728" s="34" t="n">
        <f aca="false">SIP_Fund3_SBISmallcap!B93</f>
        <v>48335</v>
      </c>
      <c r="C728" s="35" t="n">
        <f aca="false">SIP_Fund3_SBISmallcap!C93</f>
        <v>10000</v>
      </c>
      <c r="D728" s="36" t="n">
        <f aca="false">SIP_Fund3_SBISmallcap!H93</f>
        <v>394.82313945306</v>
      </c>
      <c r="E728" s="37" t="n">
        <f aca="false">SIP_Fund3_SBISmallcap!I93</f>
        <v>25.3277961718576</v>
      </c>
      <c r="F728" s="33" t="n">
        <f aca="false">Assumptions!$C$5-B728</f>
        <v>1354</v>
      </c>
      <c r="G728" s="36" t="n">
        <f aca="false">Assumptions!$D$24*(1+Assumptions!$F$24)^((Assumptions!$C$5-Assumptions!$C$4)/365)</f>
        <v>646.340264247885</v>
      </c>
      <c r="H728" s="35" t="n">
        <f aca="false">E728*G728</f>
        <v>16370.374470535</v>
      </c>
      <c r="I728" s="47" t="n">
        <f aca="false">IF(F728&lt;365,Assumptions!$G$24,IF(F728&lt;=730,Assumptions!$H$24,Assumptions!$I$24))</f>
        <v>0</v>
      </c>
      <c r="J728" s="35" t="n">
        <f aca="false">H728*I728</f>
        <v>0</v>
      </c>
      <c r="K728" s="35" t="n">
        <f aca="false">H728-J728</f>
        <v>16370.374470535</v>
      </c>
      <c r="L728" s="35" t="n">
        <f aca="false">K728-C728</f>
        <v>6370.37447053501</v>
      </c>
      <c r="M728" s="33" t="str">
        <f aca="false">IF(F728&gt;365,"LTCG","STCG")</f>
        <v>LTCG</v>
      </c>
      <c r="N728" s="47" t="n">
        <f aca="false">IF(M728="LTCG",Assumptions!$C$12,Assumptions!$C$11)</f>
        <v>0.125</v>
      </c>
      <c r="O728" s="33" t="str">
        <f aca="false">IF(M728="STCG",MAX(L728,0)*Assumptions!$C$11,"agg. below")</f>
        <v>agg. below</v>
      </c>
    </row>
    <row r="729" customFormat="false" ht="15" hidden="false" customHeight="false" outlineLevel="1" collapsed="false">
      <c r="A729" s="38" t="str">
        <f aca="false">TEXT(SIP_Fund3_SBISmallcap!B94,"mmm-yyyy")</f>
        <v>Jun-2032</v>
      </c>
      <c r="B729" s="39" t="n">
        <f aca="false">SIP_Fund3_SBISmallcap!B94</f>
        <v>48366</v>
      </c>
      <c r="C729" s="40" t="n">
        <f aca="false">SIP_Fund3_SBISmallcap!C94</f>
        <v>10000</v>
      </c>
      <c r="D729" s="41" t="n">
        <f aca="false">SIP_Fund3_SBISmallcap!H94</f>
        <v>399.303848855261</v>
      </c>
      <c r="E729" s="42" t="n">
        <f aca="false">SIP_Fund3_SBISmallcap!I94</f>
        <v>25.0435853014399</v>
      </c>
      <c r="F729" s="38" t="n">
        <f aca="false">Assumptions!$C$5-B729</f>
        <v>1323</v>
      </c>
      <c r="G729" s="41" t="n">
        <f aca="false">Assumptions!$D$24*(1+Assumptions!$F$24)^((Assumptions!$C$5-Assumptions!$C$4)/365)</f>
        <v>646.340264247885</v>
      </c>
      <c r="H729" s="40" t="n">
        <f aca="false">E729*G729</f>
        <v>16186.6775414471</v>
      </c>
      <c r="I729" s="48" t="n">
        <f aca="false">IF(F729&lt;365,Assumptions!$G$24,IF(F729&lt;=730,Assumptions!$H$24,Assumptions!$I$24))</f>
        <v>0</v>
      </c>
      <c r="J729" s="40" t="n">
        <f aca="false">H729*I729</f>
        <v>0</v>
      </c>
      <c r="K729" s="40" t="n">
        <f aca="false">H729-J729</f>
        <v>16186.6775414471</v>
      </c>
      <c r="L729" s="40" t="n">
        <f aca="false">K729-C729</f>
        <v>6186.67754144713</v>
      </c>
      <c r="M729" s="38" t="str">
        <f aca="false">IF(F729&gt;365,"LTCG","STCG")</f>
        <v>LTCG</v>
      </c>
      <c r="N729" s="48" t="n">
        <f aca="false">IF(M729="LTCG",Assumptions!$C$12,Assumptions!$C$11)</f>
        <v>0.125</v>
      </c>
      <c r="O729" s="38" t="str">
        <f aca="false">IF(M729="STCG",MAX(L729,0)*Assumptions!$C$11,"agg. below")</f>
        <v>agg. below</v>
      </c>
    </row>
    <row r="730" customFormat="false" ht="15" hidden="false" customHeight="false" outlineLevel="1" collapsed="false">
      <c r="A730" s="33" t="str">
        <f aca="false">TEXT(SIP_Fund3_SBISmallcap!B95,"mmm-yyyy")</f>
        <v>Jul-2032</v>
      </c>
      <c r="B730" s="34" t="n">
        <f aca="false">SIP_Fund3_SBISmallcap!B95</f>
        <v>48396</v>
      </c>
      <c r="C730" s="35" t="n">
        <f aca="false">SIP_Fund3_SBISmallcap!C95</f>
        <v>10000</v>
      </c>
      <c r="D730" s="36" t="n">
        <f aca="false">SIP_Fund3_SBISmallcap!H95</f>
        <v>403.688429326783</v>
      </c>
      <c r="E730" s="37" t="n">
        <f aca="false">SIP_Fund3_SBISmallcap!I95</f>
        <v>24.7715794497173</v>
      </c>
      <c r="F730" s="33" t="n">
        <f aca="false">Assumptions!$C$5-B730</f>
        <v>1293</v>
      </c>
      <c r="G730" s="36" t="n">
        <f aca="false">Assumptions!$D$24*(1+Assumptions!$F$24)^((Assumptions!$C$5-Assumptions!$C$4)/365)</f>
        <v>646.340264247885</v>
      </c>
      <c r="H730" s="35" t="n">
        <f aca="false">E730*G730</f>
        <v>16010.8692073678</v>
      </c>
      <c r="I730" s="47" t="n">
        <f aca="false">IF(F730&lt;365,Assumptions!$G$24,IF(F730&lt;=730,Assumptions!$H$24,Assumptions!$I$24))</f>
        <v>0</v>
      </c>
      <c r="J730" s="35" t="n">
        <f aca="false">H730*I730</f>
        <v>0</v>
      </c>
      <c r="K730" s="35" t="n">
        <f aca="false">H730-J730</f>
        <v>16010.8692073678</v>
      </c>
      <c r="L730" s="35" t="n">
        <f aca="false">K730-C730</f>
        <v>6010.86920736775</v>
      </c>
      <c r="M730" s="33" t="str">
        <f aca="false">IF(F730&gt;365,"LTCG","STCG")</f>
        <v>LTCG</v>
      </c>
      <c r="N730" s="47" t="n">
        <f aca="false">IF(M730="LTCG",Assumptions!$C$12,Assumptions!$C$11)</f>
        <v>0.125</v>
      </c>
      <c r="O730" s="33" t="str">
        <f aca="false">IF(M730="STCG",MAX(L730,0)*Assumptions!$C$11,"agg. below")</f>
        <v>agg. below</v>
      </c>
    </row>
    <row r="731" customFormat="false" ht="15" hidden="false" customHeight="false" outlineLevel="1" collapsed="false">
      <c r="A731" s="38" t="str">
        <f aca="false">TEXT(SIP_Fund3_SBISmallcap!B96,"mmm-yyyy")</f>
        <v>Aug-2032</v>
      </c>
      <c r="B731" s="39" t="n">
        <f aca="false">SIP_Fund3_SBISmallcap!B96</f>
        <v>48427</v>
      </c>
      <c r="C731" s="40" t="n">
        <f aca="false">SIP_Fund3_SBISmallcap!C96</f>
        <v>10000</v>
      </c>
      <c r="D731" s="41" t="n">
        <f aca="false">SIP_Fund3_SBISmallcap!H96</f>
        <v>408.269747795985</v>
      </c>
      <c r="E731" s="42" t="n">
        <f aca="false">SIP_Fund3_SBISmallcap!I96</f>
        <v>24.4936100555681</v>
      </c>
      <c r="F731" s="38" t="n">
        <f aca="false">Assumptions!$C$5-B731</f>
        <v>1262</v>
      </c>
      <c r="G731" s="41" t="n">
        <f aca="false">Assumptions!$D$24*(1+Assumptions!$F$24)^((Assumptions!$C$5-Assumptions!$C$4)/365)</f>
        <v>646.340264247885</v>
      </c>
      <c r="H731" s="40" t="n">
        <f aca="false">E731*G731</f>
        <v>15831.2063957006</v>
      </c>
      <c r="I731" s="48" t="n">
        <f aca="false">IF(F731&lt;365,Assumptions!$G$24,IF(F731&lt;=730,Assumptions!$H$24,Assumptions!$I$24))</f>
        <v>0</v>
      </c>
      <c r="J731" s="40" t="n">
        <f aca="false">H731*I731</f>
        <v>0</v>
      </c>
      <c r="K731" s="40" t="n">
        <f aca="false">H731-J731</f>
        <v>15831.2063957006</v>
      </c>
      <c r="L731" s="40" t="n">
        <f aca="false">K731-C731</f>
        <v>5831.20639570057</v>
      </c>
      <c r="M731" s="38" t="str">
        <f aca="false">IF(F731&gt;365,"LTCG","STCG")</f>
        <v>LTCG</v>
      </c>
      <c r="N731" s="48" t="n">
        <f aca="false">IF(M731="LTCG",Assumptions!$C$12,Assumptions!$C$11)</f>
        <v>0.125</v>
      </c>
      <c r="O731" s="38" t="str">
        <f aca="false">IF(M731="STCG",MAX(L731,0)*Assumptions!$C$11,"agg. below")</f>
        <v>agg. below</v>
      </c>
    </row>
    <row r="732" customFormat="false" ht="15" hidden="false" customHeight="false" outlineLevel="1" collapsed="false">
      <c r="A732" s="33" t="str">
        <f aca="false">TEXT(SIP_Fund3_SBISmallcap!B97,"mmm-yyyy")</f>
        <v>Sep-2032</v>
      </c>
      <c r="B732" s="34" t="n">
        <f aca="false">SIP_Fund3_SBISmallcap!B97</f>
        <v>48458</v>
      </c>
      <c r="C732" s="35" t="n">
        <f aca="false">SIP_Fund3_SBISmallcap!C97</f>
        <v>10000</v>
      </c>
      <c r="D732" s="36" t="n">
        <f aca="false">SIP_Fund3_SBISmallcap!H97</f>
        <v>412.903058042486</v>
      </c>
      <c r="E732" s="37" t="n">
        <f aca="false">SIP_Fund3_SBISmallcap!I97</f>
        <v>24.2187598401634</v>
      </c>
      <c r="F732" s="33" t="n">
        <f aca="false">Assumptions!$C$5-B732</f>
        <v>1231</v>
      </c>
      <c r="G732" s="36" t="n">
        <f aca="false">Assumptions!$D$24*(1+Assumptions!$F$24)^((Assumptions!$C$5-Assumptions!$C$4)/365)</f>
        <v>646.340264247885</v>
      </c>
      <c r="H732" s="35" t="n">
        <f aca="false">E732*G732</f>
        <v>15653.5596348472</v>
      </c>
      <c r="I732" s="47" t="n">
        <f aca="false">IF(F732&lt;365,Assumptions!$G$24,IF(F732&lt;=730,Assumptions!$H$24,Assumptions!$I$24))</f>
        <v>0</v>
      </c>
      <c r="J732" s="35" t="n">
        <f aca="false">H732*I732</f>
        <v>0</v>
      </c>
      <c r="K732" s="35" t="n">
        <f aca="false">H732-J732</f>
        <v>15653.5596348472</v>
      </c>
      <c r="L732" s="35" t="n">
        <f aca="false">K732-C732</f>
        <v>5653.55963484724</v>
      </c>
      <c r="M732" s="33" t="str">
        <f aca="false">IF(F732&gt;365,"LTCG","STCG")</f>
        <v>LTCG</v>
      </c>
      <c r="N732" s="47" t="n">
        <f aca="false">IF(M732="LTCG",Assumptions!$C$12,Assumptions!$C$11)</f>
        <v>0.125</v>
      </c>
      <c r="O732" s="33" t="str">
        <f aca="false">IF(M732="STCG",MAX(L732,0)*Assumptions!$C$11,"agg. below")</f>
        <v>agg. below</v>
      </c>
    </row>
    <row r="733" customFormat="false" ht="15" hidden="false" customHeight="false" outlineLevel="1" collapsed="false">
      <c r="A733" s="38" t="str">
        <f aca="false">TEXT(SIP_Fund3_SBISmallcap!B98,"mmm-yyyy")</f>
        <v>Oct-2032</v>
      </c>
      <c r="B733" s="39" t="n">
        <f aca="false">SIP_Fund3_SBISmallcap!B98</f>
        <v>48488</v>
      </c>
      <c r="C733" s="40" t="n">
        <f aca="false">SIP_Fund3_SBISmallcap!C98</f>
        <v>10000</v>
      </c>
      <c r="D733" s="41" t="n">
        <f aca="false">SIP_Fund3_SBISmallcap!H98</f>
        <v>417.436965466908</v>
      </c>
      <c r="E733" s="42" t="n">
        <f aca="false">SIP_Fund3_SBISmallcap!I98</f>
        <v>23.9557126638627</v>
      </c>
      <c r="F733" s="38" t="n">
        <f aca="false">Assumptions!$C$5-B733</f>
        <v>1201</v>
      </c>
      <c r="G733" s="41" t="n">
        <f aca="false">Assumptions!$D$24*(1+Assumptions!$F$24)^((Assumptions!$C$5-Assumptions!$C$4)/365)</f>
        <v>646.340264247885</v>
      </c>
      <c r="H733" s="40" t="n">
        <f aca="false">E733*G733</f>
        <v>15483.5416534074</v>
      </c>
      <c r="I733" s="48" t="n">
        <f aca="false">IF(F733&lt;365,Assumptions!$G$24,IF(F733&lt;=730,Assumptions!$H$24,Assumptions!$I$24))</f>
        <v>0</v>
      </c>
      <c r="J733" s="40" t="n">
        <f aca="false">H733*I733</f>
        <v>0</v>
      </c>
      <c r="K733" s="40" t="n">
        <f aca="false">H733-J733</f>
        <v>15483.5416534074</v>
      </c>
      <c r="L733" s="40" t="n">
        <f aca="false">K733-C733</f>
        <v>5483.54165340739</v>
      </c>
      <c r="M733" s="38" t="str">
        <f aca="false">IF(F733&gt;365,"LTCG","STCG")</f>
        <v>LTCG</v>
      </c>
      <c r="N733" s="48" t="n">
        <f aca="false">IF(M733="LTCG",Assumptions!$C$12,Assumptions!$C$11)</f>
        <v>0.125</v>
      </c>
      <c r="O733" s="38" t="str">
        <f aca="false">IF(M733="STCG",MAX(L733,0)*Assumptions!$C$11,"agg. below")</f>
        <v>agg. below</v>
      </c>
    </row>
    <row r="734" customFormat="false" ht="15" hidden="false" customHeight="false" outlineLevel="1" collapsed="false">
      <c r="A734" s="33" t="str">
        <f aca="false">TEXT(SIP_Fund3_SBISmallcap!B99,"mmm-yyyy")</f>
        <v>Nov-2032</v>
      </c>
      <c r="B734" s="34" t="n">
        <f aca="false">SIP_Fund3_SBISmallcap!B99</f>
        <v>48519</v>
      </c>
      <c r="C734" s="35" t="n">
        <f aca="false">SIP_Fund3_SBISmallcap!C99</f>
        <v>10000</v>
      </c>
      <c r="D734" s="36" t="n">
        <f aca="false">SIP_Fund3_SBISmallcap!H99</f>
        <v>422.174311253137</v>
      </c>
      <c r="E734" s="37" t="n">
        <f aca="false">SIP_Fund3_SBISmallcap!I99</f>
        <v>23.6868983579722</v>
      </c>
      <c r="F734" s="33" t="n">
        <f aca="false">Assumptions!$C$5-B734</f>
        <v>1170</v>
      </c>
      <c r="G734" s="36" t="n">
        <f aca="false">Assumptions!$D$24*(1+Assumptions!$F$24)^((Assumptions!$C$5-Assumptions!$C$4)/365)</f>
        <v>646.340264247885</v>
      </c>
      <c r="H734" s="35" t="n">
        <f aca="false">E734*G734</f>
        <v>15309.7961439046</v>
      </c>
      <c r="I734" s="47" t="n">
        <f aca="false">IF(F734&lt;365,Assumptions!$G$24,IF(F734&lt;=730,Assumptions!$H$24,Assumptions!$I$24))</f>
        <v>0</v>
      </c>
      <c r="J734" s="35" t="n">
        <f aca="false">H734*I734</f>
        <v>0</v>
      </c>
      <c r="K734" s="35" t="n">
        <f aca="false">H734-J734</f>
        <v>15309.7961439046</v>
      </c>
      <c r="L734" s="35" t="n">
        <f aca="false">K734-C734</f>
        <v>5309.79614390456</v>
      </c>
      <c r="M734" s="33" t="str">
        <f aca="false">IF(F734&gt;365,"LTCG","STCG")</f>
        <v>LTCG</v>
      </c>
      <c r="N734" s="47" t="n">
        <f aca="false">IF(M734="LTCG",Assumptions!$C$12,Assumptions!$C$11)</f>
        <v>0.125</v>
      </c>
      <c r="O734" s="33" t="str">
        <f aca="false">IF(M734="STCG",MAX(L734,0)*Assumptions!$C$11,"agg. below")</f>
        <v>agg. below</v>
      </c>
    </row>
    <row r="735" customFormat="false" ht="15" hidden="false" customHeight="false" outlineLevel="1" collapsed="false">
      <c r="A735" s="38" t="str">
        <f aca="false">TEXT(SIP_Fund3_SBISmallcap!B100,"mmm-yyyy")</f>
        <v>Dec-2032</v>
      </c>
      <c r="B735" s="39" t="n">
        <f aca="false">SIP_Fund3_SBISmallcap!B100</f>
        <v>48549</v>
      </c>
      <c r="C735" s="40" t="n">
        <f aca="false">SIP_Fund3_SBISmallcap!C100</f>
        <v>10000</v>
      </c>
      <c r="D735" s="41" t="n">
        <f aca="false">SIP_Fund3_SBISmallcap!H100</f>
        <v>426.810022243667</v>
      </c>
      <c r="E735" s="42" t="n">
        <f aca="false">SIP_Fund3_SBISmallcap!I100</f>
        <v>23.4296278879107</v>
      </c>
      <c r="F735" s="38" t="n">
        <f aca="false">Assumptions!$C$5-B735</f>
        <v>1140</v>
      </c>
      <c r="G735" s="41" t="n">
        <f aca="false">Assumptions!$D$24*(1+Assumptions!$F$24)^((Assumptions!$C$5-Assumptions!$C$4)/365)</f>
        <v>646.340264247885</v>
      </c>
      <c r="H735" s="40" t="n">
        <f aca="false">E735*G735</f>
        <v>15143.5118803018</v>
      </c>
      <c r="I735" s="48" t="n">
        <f aca="false">IF(F735&lt;365,Assumptions!$G$24,IF(F735&lt;=730,Assumptions!$H$24,Assumptions!$I$24))</f>
        <v>0</v>
      </c>
      <c r="J735" s="40" t="n">
        <f aca="false">H735*I735</f>
        <v>0</v>
      </c>
      <c r="K735" s="40" t="n">
        <f aca="false">H735-J735</f>
        <v>15143.5118803018</v>
      </c>
      <c r="L735" s="40" t="n">
        <f aca="false">K735-C735</f>
        <v>5143.51188030182</v>
      </c>
      <c r="M735" s="38" t="str">
        <f aca="false">IF(F735&gt;365,"LTCG","STCG")</f>
        <v>LTCG</v>
      </c>
      <c r="N735" s="48" t="n">
        <f aca="false">IF(M735="LTCG",Assumptions!$C$12,Assumptions!$C$11)</f>
        <v>0.125</v>
      </c>
      <c r="O735" s="38" t="str">
        <f aca="false">IF(M735="STCG",MAX(L735,0)*Assumptions!$C$11,"agg. below")</f>
        <v>agg. below</v>
      </c>
    </row>
    <row r="736" customFormat="false" ht="15" hidden="false" customHeight="false" outlineLevel="1" collapsed="false">
      <c r="A736" s="33" t="str">
        <f aca="false">TEXT(SIP_Fund3_SBISmallcap!B101,"mmm-yyyy")</f>
        <v>Jan-2033</v>
      </c>
      <c r="B736" s="34" t="n">
        <f aca="false">SIP_Fund3_SBISmallcap!B101</f>
        <v>48580</v>
      </c>
      <c r="C736" s="35" t="n">
        <f aca="false">SIP_Fund3_SBISmallcap!C101</f>
        <v>11000</v>
      </c>
      <c r="D736" s="36" t="n">
        <f aca="false">SIP_Fund3_SBISmallcap!H101</f>
        <v>431.653739565479</v>
      </c>
      <c r="E736" s="37" t="n">
        <f aca="false">SIP_Fund3_SBISmallcap!I101</f>
        <v>25.4833886324559</v>
      </c>
      <c r="F736" s="33" t="n">
        <f aca="false">Assumptions!$C$5-B736</f>
        <v>1109</v>
      </c>
      <c r="G736" s="36" t="n">
        <f aca="false">Assumptions!$D$24*(1+Assumptions!$F$24)^((Assumptions!$C$5-Assumptions!$C$4)/365)</f>
        <v>646.340264247885</v>
      </c>
      <c r="H736" s="35" t="n">
        <f aca="false">E736*G736</f>
        <v>16470.9401426331</v>
      </c>
      <c r="I736" s="47" t="n">
        <f aca="false">IF(F736&lt;365,Assumptions!$G$24,IF(F736&lt;=730,Assumptions!$H$24,Assumptions!$I$24))</f>
        <v>0</v>
      </c>
      <c r="J736" s="35" t="n">
        <f aca="false">H736*I736</f>
        <v>0</v>
      </c>
      <c r="K736" s="35" t="n">
        <f aca="false">H736-J736</f>
        <v>16470.9401426331</v>
      </c>
      <c r="L736" s="35" t="n">
        <f aca="false">K736-C736</f>
        <v>5470.9401426331</v>
      </c>
      <c r="M736" s="33" t="str">
        <f aca="false">IF(F736&gt;365,"LTCG","STCG")</f>
        <v>LTCG</v>
      </c>
      <c r="N736" s="47" t="n">
        <f aca="false">IF(M736="LTCG",Assumptions!$C$12,Assumptions!$C$11)</f>
        <v>0.125</v>
      </c>
      <c r="O736" s="33" t="str">
        <f aca="false">IF(M736="STCG",MAX(L736,0)*Assumptions!$C$11,"agg. below")</f>
        <v>agg. below</v>
      </c>
    </row>
    <row r="737" customFormat="false" ht="15" hidden="false" customHeight="false" outlineLevel="1" collapsed="false">
      <c r="A737" s="38" t="str">
        <f aca="false">TEXT(SIP_Fund3_SBISmallcap!B102,"mmm-yyyy")</f>
        <v>Feb-2033</v>
      </c>
      <c r="B737" s="39" t="n">
        <f aca="false">SIP_Fund3_SBISmallcap!B102</f>
        <v>48611</v>
      </c>
      <c r="C737" s="40" t="n">
        <f aca="false">SIP_Fund3_SBISmallcap!C102</f>
        <v>11000</v>
      </c>
      <c r="D737" s="41" t="n">
        <f aca="false">SIP_Fund3_SBISmallcap!H102</f>
        <v>436.552426537183</v>
      </c>
      <c r="E737" s="42" t="n">
        <f aca="false">SIP_Fund3_SBISmallcap!I102</f>
        <v>25.1974318119225</v>
      </c>
      <c r="F737" s="38" t="n">
        <f aca="false">Assumptions!$C$5-B737</f>
        <v>1078</v>
      </c>
      <c r="G737" s="41" t="n">
        <f aca="false">Assumptions!$D$24*(1+Assumptions!$F$24)^((Assumptions!$C$5-Assumptions!$C$4)/365)</f>
        <v>646.340264247885</v>
      </c>
      <c r="H737" s="40" t="n">
        <f aca="false">E737*G737</f>
        <v>16286.1147356861</v>
      </c>
      <c r="I737" s="48" t="n">
        <f aca="false">IF(F737&lt;365,Assumptions!$G$24,IF(F737&lt;=730,Assumptions!$H$24,Assumptions!$I$24))</f>
        <v>0</v>
      </c>
      <c r="J737" s="40" t="n">
        <f aca="false">H737*I737</f>
        <v>0</v>
      </c>
      <c r="K737" s="40" t="n">
        <f aca="false">H737-J737</f>
        <v>16286.1147356861</v>
      </c>
      <c r="L737" s="40" t="n">
        <f aca="false">K737-C737</f>
        <v>5286.11473568607</v>
      </c>
      <c r="M737" s="38" t="str">
        <f aca="false">IF(F737&gt;365,"LTCG","STCG")</f>
        <v>LTCG</v>
      </c>
      <c r="N737" s="48" t="n">
        <f aca="false">IF(M737="LTCG",Assumptions!$C$12,Assumptions!$C$11)</f>
        <v>0.125</v>
      </c>
      <c r="O737" s="38" t="str">
        <f aca="false">IF(M737="STCG",MAX(L737,0)*Assumptions!$C$11,"agg. below")</f>
        <v>agg. below</v>
      </c>
    </row>
    <row r="738" customFormat="false" ht="15" hidden="false" customHeight="false" outlineLevel="1" collapsed="false">
      <c r="A738" s="33" t="str">
        <f aca="false">TEXT(SIP_Fund3_SBISmallcap!B103,"mmm-yyyy")</f>
        <v>Mar-2033</v>
      </c>
      <c r="B738" s="34" t="n">
        <f aca="false">SIP_Fund3_SBISmallcap!B103</f>
        <v>48639</v>
      </c>
      <c r="C738" s="35" t="n">
        <f aca="false">SIP_Fund3_SBISmallcap!C103</f>
        <v>11000</v>
      </c>
      <c r="D738" s="36" t="n">
        <f aca="false">SIP_Fund3_SBISmallcap!H103</f>
        <v>441.024813371974</v>
      </c>
      <c r="E738" s="37" t="n">
        <f aca="false">SIP_Fund3_SBISmallcap!I103</f>
        <v>24.9419072725104</v>
      </c>
      <c r="F738" s="33" t="n">
        <f aca="false">Assumptions!$C$5-B738</f>
        <v>1050</v>
      </c>
      <c r="G738" s="36" t="n">
        <f aca="false">Assumptions!$D$24*(1+Assumptions!$F$24)^((Assumptions!$C$5-Assumptions!$C$4)/365)</f>
        <v>646.340264247885</v>
      </c>
      <c r="H738" s="35" t="n">
        <f aca="false">E738*G738</f>
        <v>16120.9589373606</v>
      </c>
      <c r="I738" s="47" t="n">
        <f aca="false">IF(F738&lt;365,Assumptions!$G$24,IF(F738&lt;=730,Assumptions!$H$24,Assumptions!$I$24))</f>
        <v>0</v>
      </c>
      <c r="J738" s="35" t="n">
        <f aca="false">H738*I738</f>
        <v>0</v>
      </c>
      <c r="K738" s="35" t="n">
        <f aca="false">H738-J738</f>
        <v>16120.9589373606</v>
      </c>
      <c r="L738" s="35" t="n">
        <f aca="false">K738-C738</f>
        <v>5120.95893736064</v>
      </c>
      <c r="M738" s="33" t="str">
        <f aca="false">IF(F738&gt;365,"LTCG","STCG")</f>
        <v>LTCG</v>
      </c>
      <c r="N738" s="47" t="n">
        <f aca="false">IF(M738="LTCG",Assumptions!$C$12,Assumptions!$C$11)</f>
        <v>0.125</v>
      </c>
      <c r="O738" s="33" t="str">
        <f aca="false">IF(M738="STCG",MAX(L738,0)*Assumptions!$C$11,"agg. below")</f>
        <v>agg. below</v>
      </c>
    </row>
    <row r="739" customFormat="false" ht="15" hidden="false" customHeight="false" outlineLevel="1" collapsed="false">
      <c r="A739" s="38" t="str">
        <f aca="false">TEXT(SIP_Fund3_SBISmallcap!B104,"mmm-yyyy")</f>
        <v>Apr-2033</v>
      </c>
      <c r="B739" s="39" t="n">
        <f aca="false">SIP_Fund3_SBISmallcap!B104</f>
        <v>48670</v>
      </c>
      <c r="C739" s="40" t="n">
        <f aca="false">SIP_Fund3_SBISmallcap!C104</f>
        <v>11000</v>
      </c>
      <c r="D739" s="41" t="n">
        <f aca="false">SIP_Fund3_SBISmallcap!H104</f>
        <v>446.029849375227</v>
      </c>
      <c r="E739" s="42" t="n">
        <f aca="false">SIP_Fund3_SBISmallcap!I104</f>
        <v>24.6620265782843</v>
      </c>
      <c r="F739" s="38" t="n">
        <f aca="false">Assumptions!$C$5-B739</f>
        <v>1019</v>
      </c>
      <c r="G739" s="41" t="n">
        <f aca="false">Assumptions!$D$24*(1+Assumptions!$F$24)^((Assumptions!$C$5-Assumptions!$C$4)/365)</f>
        <v>646.340264247885</v>
      </c>
      <c r="H739" s="40" t="n">
        <f aca="false">E739*G739</f>
        <v>15940.0607754967</v>
      </c>
      <c r="I739" s="48" t="n">
        <f aca="false">IF(F739&lt;365,Assumptions!$G$24,IF(F739&lt;=730,Assumptions!$H$24,Assumptions!$I$24))</f>
        <v>0</v>
      </c>
      <c r="J739" s="40" t="n">
        <f aca="false">H739*I739</f>
        <v>0</v>
      </c>
      <c r="K739" s="40" t="n">
        <f aca="false">H739-J739</f>
        <v>15940.0607754967</v>
      </c>
      <c r="L739" s="40" t="n">
        <f aca="false">K739-C739</f>
        <v>4940.06077549666</v>
      </c>
      <c r="M739" s="38" t="str">
        <f aca="false">IF(F739&gt;365,"LTCG","STCG")</f>
        <v>LTCG</v>
      </c>
      <c r="N739" s="48" t="n">
        <f aca="false">IF(M739="LTCG",Assumptions!$C$12,Assumptions!$C$11)</f>
        <v>0.125</v>
      </c>
      <c r="O739" s="38" t="str">
        <f aca="false">IF(M739="STCG",MAX(L739,0)*Assumptions!$C$11,"agg. below")</f>
        <v>agg. below</v>
      </c>
    </row>
    <row r="740" customFormat="false" ht="15" hidden="false" customHeight="false" outlineLevel="1" collapsed="false">
      <c r="A740" s="33" t="str">
        <f aca="false">TEXT(SIP_Fund3_SBISmallcap!B105,"mmm-yyyy")</f>
        <v>May-2033</v>
      </c>
      <c r="B740" s="34" t="n">
        <f aca="false">SIP_Fund3_SBISmallcap!B105</f>
        <v>48700</v>
      </c>
      <c r="C740" s="35" t="n">
        <f aca="false">SIP_Fund3_SBISmallcap!C105</f>
        <v>11000</v>
      </c>
      <c r="D740" s="36" t="n">
        <f aca="false">SIP_Fund3_SBISmallcap!H105</f>
        <v>450.927507569339</v>
      </c>
      <c r="E740" s="37" t="n">
        <f aca="false">SIP_Fund3_SBISmallcap!I105</f>
        <v>24.3941649496921</v>
      </c>
      <c r="F740" s="33" t="n">
        <f aca="false">Assumptions!$C$5-B740</f>
        <v>989</v>
      </c>
      <c r="G740" s="36" t="n">
        <f aca="false">Assumptions!$D$24*(1+Assumptions!$F$24)^((Assumptions!$C$5-Assumptions!$C$4)/365)</f>
        <v>646.340264247885</v>
      </c>
      <c r="H740" s="35" t="n">
        <f aca="false">E740*G740</f>
        <v>15766.9310196905</v>
      </c>
      <c r="I740" s="47" t="n">
        <f aca="false">IF(F740&lt;365,Assumptions!$G$24,IF(F740&lt;=730,Assumptions!$H$24,Assumptions!$I$24))</f>
        <v>0</v>
      </c>
      <c r="J740" s="35" t="n">
        <f aca="false">H740*I740</f>
        <v>0</v>
      </c>
      <c r="K740" s="35" t="n">
        <f aca="false">H740-J740</f>
        <v>15766.9310196905</v>
      </c>
      <c r="L740" s="35" t="n">
        <f aca="false">K740-C740</f>
        <v>4766.93101969049</v>
      </c>
      <c r="M740" s="33" t="str">
        <f aca="false">IF(F740&gt;365,"LTCG","STCG")</f>
        <v>LTCG</v>
      </c>
      <c r="N740" s="47" t="n">
        <f aca="false">IF(M740="LTCG",Assumptions!$C$12,Assumptions!$C$11)</f>
        <v>0.125</v>
      </c>
      <c r="O740" s="33" t="str">
        <f aca="false">IF(M740="STCG",MAX(L740,0)*Assumptions!$C$11,"agg. below")</f>
        <v>agg. below</v>
      </c>
    </row>
    <row r="741" customFormat="false" ht="15" hidden="false" customHeight="false" outlineLevel="1" collapsed="false">
      <c r="A741" s="38" t="str">
        <f aca="false">TEXT(SIP_Fund3_SBISmallcap!B106,"mmm-yyyy")</f>
        <v>Jun-2033</v>
      </c>
      <c r="B741" s="39" t="n">
        <f aca="false">SIP_Fund3_SBISmallcap!B106</f>
        <v>48731</v>
      </c>
      <c r="C741" s="40" t="n">
        <f aca="false">SIP_Fund3_SBISmallcap!C106</f>
        <v>11000</v>
      </c>
      <c r="D741" s="41" t="n">
        <f aca="false">SIP_Fund3_SBISmallcap!H106</f>
        <v>456.044925777593</v>
      </c>
      <c r="E741" s="42" t="n">
        <f aca="false">SIP_Fund3_SBISmallcap!I106</f>
        <v>24.1204306379336</v>
      </c>
      <c r="F741" s="38" t="n">
        <f aca="false">Assumptions!$C$5-B741</f>
        <v>958</v>
      </c>
      <c r="G741" s="41" t="n">
        <f aca="false">Assumptions!$D$24*(1+Assumptions!$F$24)^((Assumptions!$C$5-Assumptions!$C$4)/365)</f>
        <v>646.340264247885</v>
      </c>
      <c r="H741" s="40" t="n">
        <f aca="false">E741*G741</f>
        <v>15590.0055122948</v>
      </c>
      <c r="I741" s="48" t="n">
        <f aca="false">IF(F741&lt;365,Assumptions!$G$24,IF(F741&lt;=730,Assumptions!$H$24,Assumptions!$I$24))</f>
        <v>0</v>
      </c>
      <c r="J741" s="40" t="n">
        <f aca="false">H741*I741</f>
        <v>0</v>
      </c>
      <c r="K741" s="40" t="n">
        <f aca="false">H741-J741</f>
        <v>15590.0055122948</v>
      </c>
      <c r="L741" s="40" t="n">
        <f aca="false">K741-C741</f>
        <v>4590.00551229475</v>
      </c>
      <c r="M741" s="38" t="str">
        <f aca="false">IF(F741&gt;365,"LTCG","STCG")</f>
        <v>LTCG</v>
      </c>
      <c r="N741" s="48" t="n">
        <f aca="false">IF(M741="LTCG",Assumptions!$C$12,Assumptions!$C$11)</f>
        <v>0.125</v>
      </c>
      <c r="O741" s="38" t="str">
        <f aca="false">IF(M741="STCG",MAX(L741,0)*Assumptions!$C$11,"agg. below")</f>
        <v>agg. below</v>
      </c>
    </row>
    <row r="742" customFormat="false" ht="15" hidden="false" customHeight="false" outlineLevel="1" collapsed="false">
      <c r="A742" s="33" t="str">
        <f aca="false">TEXT(SIP_Fund3_SBISmallcap!B107,"mmm-yyyy")</f>
        <v>Jul-2033</v>
      </c>
      <c r="B742" s="34" t="n">
        <f aca="false">SIP_Fund3_SBISmallcap!B107</f>
        <v>48761</v>
      </c>
      <c r="C742" s="35" t="n">
        <f aca="false">SIP_Fund3_SBISmallcap!C107</f>
        <v>11000</v>
      </c>
      <c r="D742" s="36" t="n">
        <f aca="false">SIP_Fund3_SBISmallcap!H107</f>
        <v>461.052555134119</v>
      </c>
      <c r="E742" s="37" t="n">
        <f aca="false">SIP_Fund3_SBISmallcap!I107</f>
        <v>23.8584514444348</v>
      </c>
      <c r="F742" s="33" t="n">
        <f aca="false">Assumptions!$C$5-B742</f>
        <v>928</v>
      </c>
      <c r="G742" s="36" t="n">
        <f aca="false">Assumptions!$D$24*(1+Assumptions!$F$24)^((Assumptions!$C$5-Assumptions!$C$4)/365)</f>
        <v>646.340264247885</v>
      </c>
      <c r="H742" s="35" t="n">
        <f aca="false">E742*G742</f>
        <v>15420.6778111413</v>
      </c>
      <c r="I742" s="47" t="n">
        <f aca="false">IF(F742&lt;365,Assumptions!$G$24,IF(F742&lt;=730,Assumptions!$H$24,Assumptions!$I$24))</f>
        <v>0</v>
      </c>
      <c r="J742" s="35" t="n">
        <f aca="false">H742*I742</f>
        <v>0</v>
      </c>
      <c r="K742" s="35" t="n">
        <f aca="false">H742-J742</f>
        <v>15420.6778111413</v>
      </c>
      <c r="L742" s="35" t="n">
        <f aca="false">K742-C742</f>
        <v>4420.67781114134</v>
      </c>
      <c r="M742" s="33" t="str">
        <f aca="false">IF(F742&gt;365,"LTCG","STCG")</f>
        <v>LTCG</v>
      </c>
      <c r="N742" s="47" t="n">
        <f aca="false">IF(M742="LTCG",Assumptions!$C$12,Assumptions!$C$11)</f>
        <v>0.125</v>
      </c>
      <c r="O742" s="33" t="str">
        <f aca="false">IF(M742="STCG",MAX(L742,0)*Assumptions!$C$11,"agg. below")</f>
        <v>agg. below</v>
      </c>
    </row>
    <row r="743" customFormat="false" ht="15" hidden="false" customHeight="false" outlineLevel="1" collapsed="false">
      <c r="A743" s="38" t="str">
        <f aca="false">TEXT(SIP_Fund3_SBISmallcap!B108,"mmm-yyyy")</f>
        <v>Aug-2033</v>
      </c>
      <c r="B743" s="39" t="n">
        <f aca="false">SIP_Fund3_SBISmallcap!B108</f>
        <v>48792</v>
      </c>
      <c r="C743" s="40" t="n">
        <f aca="false">SIP_Fund3_SBISmallcap!C108</f>
        <v>11000</v>
      </c>
      <c r="D743" s="41" t="n">
        <f aca="false">SIP_Fund3_SBISmallcap!H108</f>
        <v>466.284878957794</v>
      </c>
      <c r="E743" s="42" t="n">
        <f aca="false">SIP_Fund3_SBISmallcap!I108</f>
        <v>23.5907285361395</v>
      </c>
      <c r="F743" s="38" t="n">
        <f aca="false">Assumptions!$C$5-B743</f>
        <v>897</v>
      </c>
      <c r="G743" s="41" t="n">
        <f aca="false">Assumptions!$D$24*(1+Assumptions!$F$24)^((Assumptions!$C$5-Assumptions!$C$4)/365)</f>
        <v>646.340264247885</v>
      </c>
      <c r="H743" s="40" t="n">
        <f aca="false">E743*G743</f>
        <v>15247.6377158485</v>
      </c>
      <c r="I743" s="48" t="n">
        <f aca="false">IF(F743&lt;365,Assumptions!$G$24,IF(F743&lt;=730,Assumptions!$H$24,Assumptions!$I$24))</f>
        <v>0</v>
      </c>
      <c r="J743" s="40" t="n">
        <f aca="false">H743*I743</f>
        <v>0</v>
      </c>
      <c r="K743" s="40" t="n">
        <f aca="false">H743-J743</f>
        <v>15247.6377158485</v>
      </c>
      <c r="L743" s="40" t="n">
        <f aca="false">K743-C743</f>
        <v>4247.63771584855</v>
      </c>
      <c r="M743" s="38" t="str">
        <f aca="false">IF(F743&gt;365,"LTCG","STCG")</f>
        <v>LTCG</v>
      </c>
      <c r="N743" s="48" t="n">
        <f aca="false">IF(M743="LTCG",Assumptions!$C$12,Assumptions!$C$11)</f>
        <v>0.125</v>
      </c>
      <c r="O743" s="38" t="str">
        <f aca="false">IF(M743="STCG",MAX(L743,0)*Assumptions!$C$11,"agg. below")</f>
        <v>agg. below</v>
      </c>
    </row>
    <row r="744" customFormat="false" ht="15" hidden="false" customHeight="false" outlineLevel="1" collapsed="false">
      <c r="A744" s="33" t="str">
        <f aca="false">TEXT(SIP_Fund3_SBISmallcap!B109,"mmm-yyyy")</f>
        <v>Sep-2033</v>
      </c>
      <c r="B744" s="34" t="n">
        <f aca="false">SIP_Fund3_SBISmallcap!B109</f>
        <v>48823</v>
      </c>
      <c r="C744" s="35" t="n">
        <f aca="false">SIP_Fund3_SBISmallcap!C109</f>
        <v>11000</v>
      </c>
      <c r="D744" s="36" t="n">
        <f aca="false">SIP_Fund3_SBISmallcap!H109</f>
        <v>471.576582590324</v>
      </c>
      <c r="E744" s="37" t="n">
        <f aca="false">SIP_Fund3_SBISmallcap!I109</f>
        <v>23.3260098276681</v>
      </c>
      <c r="F744" s="33" t="n">
        <f aca="false">Assumptions!$C$5-B744</f>
        <v>866</v>
      </c>
      <c r="G744" s="36" t="n">
        <f aca="false">Assumptions!$D$24*(1+Assumptions!$F$24)^((Assumptions!$C$5-Assumptions!$C$4)/365)</f>
        <v>646.340264247885</v>
      </c>
      <c r="H744" s="35" t="n">
        <f aca="false">E744*G744</f>
        <v>15076.5393558637</v>
      </c>
      <c r="I744" s="47" t="n">
        <f aca="false">IF(F744&lt;365,Assumptions!$G$24,IF(F744&lt;=730,Assumptions!$H$24,Assumptions!$I$24))</f>
        <v>0</v>
      </c>
      <c r="J744" s="35" t="n">
        <f aca="false">H744*I744</f>
        <v>0</v>
      </c>
      <c r="K744" s="35" t="n">
        <f aca="false">H744-J744</f>
        <v>15076.5393558637</v>
      </c>
      <c r="L744" s="35" t="n">
        <f aca="false">K744-C744</f>
        <v>4076.53935586373</v>
      </c>
      <c r="M744" s="33" t="str">
        <f aca="false">IF(F744&gt;365,"LTCG","STCG")</f>
        <v>LTCG</v>
      </c>
      <c r="N744" s="47" t="n">
        <f aca="false">IF(M744="LTCG",Assumptions!$C$12,Assumptions!$C$11)</f>
        <v>0.125</v>
      </c>
      <c r="O744" s="33" t="str">
        <f aca="false">IF(M744="STCG",MAX(L744,0)*Assumptions!$C$11,"agg. below")</f>
        <v>agg. below</v>
      </c>
    </row>
    <row r="745" customFormat="false" ht="15" hidden="false" customHeight="false" outlineLevel="1" collapsed="false">
      <c r="A745" s="38" t="str">
        <f aca="false">TEXT(SIP_Fund3_SBISmallcap!B110,"mmm-yyyy")</f>
        <v>Oct-2033</v>
      </c>
      <c r="B745" s="39" t="n">
        <f aca="false">SIP_Fund3_SBISmallcap!B110</f>
        <v>48853</v>
      </c>
      <c r="C745" s="40" t="n">
        <f aca="false">SIP_Fund3_SBISmallcap!C110</f>
        <v>11000</v>
      </c>
      <c r="D745" s="41" t="n">
        <f aca="false">SIP_Fund3_SBISmallcap!H110</f>
        <v>476.754758259755</v>
      </c>
      <c r="E745" s="42" t="n">
        <f aca="false">SIP_Fund3_SBISmallcap!I110</f>
        <v>23.0726590756054</v>
      </c>
      <c r="F745" s="38" t="n">
        <f aca="false">Assumptions!$C$5-B745</f>
        <v>836</v>
      </c>
      <c r="G745" s="41" t="n">
        <f aca="false">Assumptions!$D$24*(1+Assumptions!$F$24)^((Assumptions!$C$5-Assumptions!$C$4)/365)</f>
        <v>646.340264247885</v>
      </c>
      <c r="H745" s="40" t="n">
        <f aca="false">E745*G745</f>
        <v>14912.7885638281</v>
      </c>
      <c r="I745" s="48" t="n">
        <f aca="false">IF(F745&lt;365,Assumptions!$G$24,IF(F745&lt;=730,Assumptions!$H$24,Assumptions!$I$24))</f>
        <v>0</v>
      </c>
      <c r="J745" s="40" t="n">
        <f aca="false">H745*I745</f>
        <v>0</v>
      </c>
      <c r="K745" s="40" t="n">
        <f aca="false">H745-J745</f>
        <v>14912.7885638281</v>
      </c>
      <c r="L745" s="40" t="n">
        <f aca="false">K745-C745</f>
        <v>3912.78856382815</v>
      </c>
      <c r="M745" s="38" t="str">
        <f aca="false">IF(F745&gt;365,"LTCG","STCG")</f>
        <v>LTCG</v>
      </c>
      <c r="N745" s="48" t="n">
        <f aca="false">IF(M745="LTCG",Assumptions!$C$12,Assumptions!$C$11)</f>
        <v>0.125</v>
      </c>
      <c r="O745" s="38" t="str">
        <f aca="false">IF(M745="STCG",MAX(L745,0)*Assumptions!$C$11,"agg. below")</f>
        <v>agg. below</v>
      </c>
    </row>
    <row r="746" customFormat="false" ht="15" hidden="false" customHeight="false" outlineLevel="1" collapsed="false">
      <c r="A746" s="33" t="str">
        <f aca="false">TEXT(SIP_Fund3_SBISmallcap!B111,"mmm-yyyy")</f>
        <v>Nov-2033</v>
      </c>
      <c r="B746" s="34" t="n">
        <f aca="false">SIP_Fund3_SBISmallcap!B111</f>
        <v>48884</v>
      </c>
      <c r="C746" s="35" t="n">
        <f aca="false">SIP_Fund3_SBISmallcap!C111</f>
        <v>11000</v>
      </c>
      <c r="D746" s="36" t="n">
        <f aca="false">SIP_Fund3_SBISmallcap!H111</f>
        <v>482.165280882208</v>
      </c>
      <c r="E746" s="37" t="n">
        <f aca="false">SIP_Fund3_SBISmallcap!I111</f>
        <v>22.8137537814285</v>
      </c>
      <c r="F746" s="33" t="n">
        <f aca="false">Assumptions!$C$5-B746</f>
        <v>805</v>
      </c>
      <c r="G746" s="36" t="n">
        <f aca="false">Assumptions!$D$24*(1+Assumptions!$F$24)^((Assumptions!$C$5-Assumptions!$C$4)/365)</f>
        <v>646.340264247885</v>
      </c>
      <c r="H746" s="35" t="n">
        <f aca="false">E746*G746</f>
        <v>14745.4476475747</v>
      </c>
      <c r="I746" s="47" t="n">
        <f aca="false">IF(F746&lt;365,Assumptions!$G$24,IF(F746&lt;=730,Assumptions!$H$24,Assumptions!$I$24))</f>
        <v>0</v>
      </c>
      <c r="J746" s="35" t="n">
        <f aca="false">H746*I746</f>
        <v>0</v>
      </c>
      <c r="K746" s="35" t="n">
        <f aca="false">H746-J746</f>
        <v>14745.4476475747</v>
      </c>
      <c r="L746" s="35" t="n">
        <f aca="false">K746-C746</f>
        <v>3745.44764757466</v>
      </c>
      <c r="M746" s="33" t="str">
        <f aca="false">IF(F746&gt;365,"LTCG","STCG")</f>
        <v>LTCG</v>
      </c>
      <c r="N746" s="47" t="n">
        <f aca="false">IF(M746="LTCG",Assumptions!$C$12,Assumptions!$C$11)</f>
        <v>0.125</v>
      </c>
      <c r="O746" s="33" t="str">
        <f aca="false">IF(M746="STCG",MAX(L746,0)*Assumptions!$C$11,"agg. below")</f>
        <v>agg. below</v>
      </c>
    </row>
    <row r="747" customFormat="false" ht="15" hidden="false" customHeight="false" outlineLevel="1" collapsed="false">
      <c r="A747" s="38" t="str">
        <f aca="false">TEXT(SIP_Fund3_SBISmallcap!B112,"mmm-yyyy")</f>
        <v>Dec-2033</v>
      </c>
      <c r="B747" s="39" t="n">
        <f aca="false">SIP_Fund3_SBISmallcap!B112</f>
        <v>48914</v>
      </c>
      <c r="C747" s="40" t="n">
        <f aca="false">SIP_Fund3_SBISmallcap!C112</f>
        <v>11000</v>
      </c>
      <c r="D747" s="41" t="n">
        <f aca="false">SIP_Fund3_SBISmallcap!H112</f>
        <v>487.459726404492</v>
      </c>
      <c r="E747" s="42" t="n">
        <f aca="false">SIP_Fund3_SBISmallcap!I112</f>
        <v>22.5659667951158</v>
      </c>
      <c r="F747" s="38" t="n">
        <f aca="false">Assumptions!$C$5-B747</f>
        <v>775</v>
      </c>
      <c r="G747" s="41" t="n">
        <f aca="false">Assumptions!$D$24*(1+Assumptions!$F$24)^((Assumptions!$C$5-Assumptions!$C$4)/365)</f>
        <v>646.340264247885</v>
      </c>
      <c r="H747" s="40" t="n">
        <f aca="false">E747*G747</f>
        <v>14585.2929413642</v>
      </c>
      <c r="I747" s="48" t="n">
        <f aca="false">IF(F747&lt;365,Assumptions!$G$24,IF(F747&lt;=730,Assumptions!$H$24,Assumptions!$I$24))</f>
        <v>0</v>
      </c>
      <c r="J747" s="40" t="n">
        <f aca="false">H747*I747</f>
        <v>0</v>
      </c>
      <c r="K747" s="40" t="n">
        <f aca="false">H747-J747</f>
        <v>14585.2929413642</v>
      </c>
      <c r="L747" s="40" t="n">
        <f aca="false">K747-C747</f>
        <v>3585.29294136415</v>
      </c>
      <c r="M747" s="38" t="str">
        <f aca="false">IF(F747&gt;365,"LTCG","STCG")</f>
        <v>LTCG</v>
      </c>
      <c r="N747" s="48" t="n">
        <f aca="false">IF(M747="LTCG",Assumptions!$C$12,Assumptions!$C$11)</f>
        <v>0.125</v>
      </c>
      <c r="O747" s="38" t="str">
        <f aca="false">IF(M747="STCG",MAX(L747,0)*Assumptions!$C$11,"agg. below")</f>
        <v>agg. below</v>
      </c>
    </row>
    <row r="748" customFormat="false" ht="15" hidden="false" customHeight="false" outlineLevel="1" collapsed="false">
      <c r="A748" s="33" t="str">
        <f aca="false">TEXT(SIP_Fund3_SBISmallcap!B113,"mmm-yyyy")</f>
        <v>Jan-2034</v>
      </c>
      <c r="B748" s="34" t="n">
        <f aca="false">SIP_Fund3_SBISmallcap!B113</f>
        <v>48945</v>
      </c>
      <c r="C748" s="35" t="n">
        <f aca="false">SIP_Fund3_SBISmallcap!C113</f>
        <v>12000</v>
      </c>
      <c r="D748" s="36" t="n">
        <f aca="false">SIP_Fund3_SBISmallcap!H113</f>
        <v>492.991735957733</v>
      </c>
      <c r="E748" s="37" t="n">
        <f aca="false">SIP_Fund3_SBISmallcap!I113</f>
        <v>24.341178816492</v>
      </c>
      <c r="F748" s="33" t="n">
        <f aca="false">Assumptions!$C$5-B748</f>
        <v>744</v>
      </c>
      <c r="G748" s="36" t="n">
        <f aca="false">Assumptions!$D$24*(1+Assumptions!$F$24)^((Assumptions!$C$5-Assumptions!$C$4)/365)</f>
        <v>646.340264247885</v>
      </c>
      <c r="H748" s="35" t="n">
        <f aca="false">E748*G748</f>
        <v>15732.6839483565</v>
      </c>
      <c r="I748" s="47" t="n">
        <f aca="false">IF(F748&lt;365,Assumptions!$G$24,IF(F748&lt;=730,Assumptions!$H$24,Assumptions!$I$24))</f>
        <v>0</v>
      </c>
      <c r="J748" s="35" t="n">
        <f aca="false">H748*I748</f>
        <v>0</v>
      </c>
      <c r="K748" s="35" t="n">
        <f aca="false">H748-J748</f>
        <v>15732.6839483565</v>
      </c>
      <c r="L748" s="35" t="n">
        <f aca="false">K748-C748</f>
        <v>3732.68394835648</v>
      </c>
      <c r="M748" s="33" t="str">
        <f aca="false">IF(F748&gt;365,"LTCG","STCG")</f>
        <v>LTCG</v>
      </c>
      <c r="N748" s="47" t="n">
        <f aca="false">IF(M748="LTCG",Assumptions!$C$12,Assumptions!$C$11)</f>
        <v>0.125</v>
      </c>
      <c r="O748" s="33" t="str">
        <f aca="false">IF(M748="STCG",MAX(L748,0)*Assumptions!$C$11,"agg. below")</f>
        <v>agg. below</v>
      </c>
    </row>
    <row r="749" customFormat="false" ht="15" hidden="false" customHeight="false" outlineLevel="1" collapsed="false">
      <c r="A749" s="38" t="str">
        <f aca="false">TEXT(SIP_Fund3_SBISmallcap!B114,"mmm-yyyy")</f>
        <v>Feb-2034</v>
      </c>
      <c r="B749" s="39" t="n">
        <f aca="false">SIP_Fund3_SBISmallcap!B114</f>
        <v>48976</v>
      </c>
      <c r="C749" s="40" t="n">
        <f aca="false">SIP_Fund3_SBISmallcap!C114</f>
        <v>12000</v>
      </c>
      <c r="D749" s="41" t="n">
        <f aca="false">SIP_Fund3_SBISmallcap!H114</f>
        <v>498.586526348117</v>
      </c>
      <c r="E749" s="42" t="n">
        <f aca="false">SIP_Fund3_SBISmallcap!I114</f>
        <v>24.068039078179</v>
      </c>
      <c r="F749" s="38" t="n">
        <f aca="false">Assumptions!$C$5-B749</f>
        <v>713</v>
      </c>
      <c r="G749" s="41" t="n">
        <f aca="false">Assumptions!$D$24*(1+Assumptions!$F$24)^((Assumptions!$C$5-Assumptions!$C$4)/365)</f>
        <v>646.340264247885</v>
      </c>
      <c r="H749" s="40" t="n">
        <f aca="false">E749*G749</f>
        <v>15556.1427377186</v>
      </c>
      <c r="I749" s="48" t="n">
        <f aca="false">IF(F749&lt;365,Assumptions!$G$24,IF(F749&lt;=730,Assumptions!$H$24,Assumptions!$I$24))</f>
        <v>0</v>
      </c>
      <c r="J749" s="40" t="n">
        <f aca="false">H749*I749</f>
        <v>0</v>
      </c>
      <c r="K749" s="40" t="n">
        <f aca="false">H749-J749</f>
        <v>15556.1427377186</v>
      </c>
      <c r="L749" s="40" t="n">
        <f aca="false">K749-C749</f>
        <v>3556.14273771862</v>
      </c>
      <c r="M749" s="38" t="str">
        <f aca="false">IF(F749&gt;365,"LTCG","STCG")</f>
        <v>LTCG</v>
      </c>
      <c r="N749" s="48" t="n">
        <f aca="false">IF(M749="LTCG",Assumptions!$C$12,Assumptions!$C$11)</f>
        <v>0.125</v>
      </c>
      <c r="O749" s="38" t="str">
        <f aca="false">IF(M749="STCG",MAX(L749,0)*Assumptions!$C$11,"agg. below")</f>
        <v>agg. below</v>
      </c>
    </row>
    <row r="750" customFormat="false" ht="15" hidden="false" customHeight="false" outlineLevel="1" collapsed="false">
      <c r="A750" s="33" t="str">
        <f aca="false">TEXT(SIP_Fund3_SBISmallcap!B115,"mmm-yyyy")</f>
        <v>Mar-2034</v>
      </c>
      <c r="B750" s="34" t="n">
        <f aca="false">SIP_Fund3_SBISmallcap!B115</f>
        <v>49004</v>
      </c>
      <c r="C750" s="35" t="n">
        <f aca="false">SIP_Fund3_SBISmallcap!C115</f>
        <v>12000</v>
      </c>
      <c r="D750" s="36" t="n">
        <f aca="false">SIP_Fund3_SBISmallcap!H115</f>
        <v>503.694439352132</v>
      </c>
      <c r="E750" s="37" t="n">
        <f aca="false">SIP_Fund3_SBISmallcap!I115</f>
        <v>23.8239675931996</v>
      </c>
      <c r="F750" s="33" t="n">
        <f aca="false">Assumptions!$C$5-B750</f>
        <v>685</v>
      </c>
      <c r="G750" s="36" t="n">
        <f aca="false">Assumptions!$D$24*(1+Assumptions!$F$24)^((Assumptions!$C$5-Assumptions!$C$4)/365)</f>
        <v>646.340264247885</v>
      </c>
      <c r="H750" s="35" t="n">
        <f aca="false">E750*G750</f>
        <v>15398.3895096216</v>
      </c>
      <c r="I750" s="47" t="n">
        <f aca="false">IF(F750&lt;365,Assumptions!$G$24,IF(F750&lt;=730,Assumptions!$H$24,Assumptions!$I$24))</f>
        <v>0</v>
      </c>
      <c r="J750" s="35" t="n">
        <f aca="false">H750*I750</f>
        <v>0</v>
      </c>
      <c r="K750" s="35" t="n">
        <f aca="false">H750-J750</f>
        <v>15398.3895096216</v>
      </c>
      <c r="L750" s="35" t="n">
        <f aca="false">K750-C750</f>
        <v>3398.38950962165</v>
      </c>
      <c r="M750" s="33" t="str">
        <f aca="false">IF(F750&gt;365,"LTCG","STCG")</f>
        <v>LTCG</v>
      </c>
      <c r="N750" s="47" t="n">
        <f aca="false">IF(M750="LTCG",Assumptions!$C$12,Assumptions!$C$11)</f>
        <v>0.125</v>
      </c>
      <c r="O750" s="33" t="str">
        <f aca="false">IF(M750="STCG",MAX(L750,0)*Assumptions!$C$11,"agg. below")</f>
        <v>agg. below</v>
      </c>
    </row>
    <row r="751" customFormat="false" ht="15" hidden="false" customHeight="false" outlineLevel="1" collapsed="false">
      <c r="A751" s="38" t="str">
        <f aca="false">TEXT(SIP_Fund3_SBISmallcap!B116,"mmm-yyyy")</f>
        <v>Apr-2034</v>
      </c>
      <c r="B751" s="39" t="n">
        <f aca="false">SIP_Fund3_SBISmallcap!B116</f>
        <v>49035</v>
      </c>
      <c r="C751" s="40" t="n">
        <f aca="false">SIP_Fund3_SBISmallcap!C116</f>
        <v>12000</v>
      </c>
      <c r="D751" s="41" t="n">
        <f aca="false">SIP_Fund3_SBISmallcap!H116</f>
        <v>509.410690971446</v>
      </c>
      <c r="E751" s="42" t="n">
        <f aca="false">SIP_Fund3_SBISmallcap!I116</f>
        <v>23.5566316386411</v>
      </c>
      <c r="F751" s="38" t="n">
        <f aca="false">Assumptions!$C$5-B751</f>
        <v>654</v>
      </c>
      <c r="G751" s="41" t="n">
        <f aca="false">Assumptions!$D$24*(1+Assumptions!$F$24)^((Assumptions!$C$5-Assumptions!$C$4)/365)</f>
        <v>646.340264247885</v>
      </c>
      <c r="H751" s="40" t="n">
        <f aca="false">E751*G751</f>
        <v>15225.5995181094</v>
      </c>
      <c r="I751" s="48" t="n">
        <f aca="false">IF(F751&lt;365,Assumptions!$G$24,IF(F751&lt;=730,Assumptions!$H$24,Assumptions!$I$24))</f>
        <v>0</v>
      </c>
      <c r="J751" s="40" t="n">
        <f aca="false">H751*I751</f>
        <v>0</v>
      </c>
      <c r="K751" s="40" t="n">
        <f aca="false">H751-J751</f>
        <v>15225.5995181094</v>
      </c>
      <c r="L751" s="40" t="n">
        <f aca="false">K751-C751</f>
        <v>3225.59951810938</v>
      </c>
      <c r="M751" s="38" t="str">
        <f aca="false">IF(F751&gt;365,"LTCG","STCG")</f>
        <v>LTCG</v>
      </c>
      <c r="N751" s="48" t="n">
        <f aca="false">IF(M751="LTCG",Assumptions!$C$12,Assumptions!$C$11)</f>
        <v>0.125</v>
      </c>
      <c r="O751" s="38" t="str">
        <f aca="false">IF(M751="STCG",MAX(L751,0)*Assumptions!$C$11,"agg. below")</f>
        <v>agg. below</v>
      </c>
    </row>
    <row r="752" customFormat="false" ht="15" hidden="false" customHeight="false" outlineLevel="1" collapsed="false">
      <c r="A752" s="33" t="str">
        <f aca="false">TEXT(SIP_Fund3_SBISmallcap!B117,"mmm-yyyy")</f>
        <v>May-2034</v>
      </c>
      <c r="B752" s="34" t="n">
        <f aca="false">SIP_Fund3_SBISmallcap!B117</f>
        <v>49065</v>
      </c>
      <c r="C752" s="35" t="n">
        <f aca="false">SIP_Fund3_SBISmallcap!C117</f>
        <v>12000</v>
      </c>
      <c r="D752" s="36" t="n">
        <f aca="false">SIP_Fund3_SBISmallcap!H117</f>
        <v>515.004306394943</v>
      </c>
      <c r="E752" s="37" t="n">
        <f aca="false">SIP_Fund3_SBISmallcap!I117</f>
        <v>23.3007760342834</v>
      </c>
      <c r="F752" s="33" t="n">
        <f aca="false">Assumptions!$C$5-B752</f>
        <v>624</v>
      </c>
      <c r="G752" s="36" t="n">
        <f aca="false">Assumptions!$D$24*(1+Assumptions!$F$24)^((Assumptions!$C$5-Assumptions!$C$4)/365)</f>
        <v>646.340264247885</v>
      </c>
      <c r="H752" s="35" t="n">
        <f aca="false">E752*G752</f>
        <v>15060.2297391795</v>
      </c>
      <c r="I752" s="47" t="n">
        <f aca="false">IF(F752&lt;365,Assumptions!$G$24,IF(F752&lt;=730,Assumptions!$H$24,Assumptions!$I$24))</f>
        <v>0</v>
      </c>
      <c r="J752" s="35" t="n">
        <f aca="false">H752*I752</f>
        <v>0</v>
      </c>
      <c r="K752" s="35" t="n">
        <f aca="false">H752-J752</f>
        <v>15060.2297391795</v>
      </c>
      <c r="L752" s="35" t="n">
        <f aca="false">K752-C752</f>
        <v>3060.22973917949</v>
      </c>
      <c r="M752" s="33" t="str">
        <f aca="false">IF(F752&gt;365,"LTCG","STCG")</f>
        <v>LTCG</v>
      </c>
      <c r="N752" s="47" t="n">
        <f aca="false">IF(M752="LTCG",Assumptions!$C$12,Assumptions!$C$11)</f>
        <v>0.125</v>
      </c>
      <c r="O752" s="33" t="str">
        <f aca="false">IF(M752="STCG",MAX(L752,0)*Assumptions!$C$11,"agg. below")</f>
        <v>agg. below</v>
      </c>
    </row>
    <row r="753" customFormat="false" ht="15" hidden="false" customHeight="false" outlineLevel="1" collapsed="false">
      <c r="A753" s="38" t="str">
        <f aca="false">TEXT(SIP_Fund3_SBISmallcap!B118,"mmm-yyyy")</f>
        <v>Jun-2034</v>
      </c>
      <c r="B753" s="39" t="n">
        <f aca="false">SIP_Fund3_SBISmallcap!B118</f>
        <v>49096</v>
      </c>
      <c r="C753" s="40" t="n">
        <f aca="false">SIP_Fund3_SBISmallcap!C118</f>
        <v>12000</v>
      </c>
      <c r="D753" s="41" t="n">
        <f aca="false">SIP_Fund3_SBISmallcap!H118</f>
        <v>520.84890973059</v>
      </c>
      <c r="E753" s="42" t="n">
        <f aca="false">SIP_Fund3_SBISmallcap!I118</f>
        <v>23.0393109706364</v>
      </c>
      <c r="F753" s="38" t="n">
        <f aca="false">Assumptions!$C$5-B753</f>
        <v>593</v>
      </c>
      <c r="G753" s="41" t="n">
        <f aca="false">Assumptions!$D$24*(1+Assumptions!$F$24)^((Assumptions!$C$5-Assumptions!$C$4)/365)</f>
        <v>646.340264247885</v>
      </c>
      <c r="H753" s="40" t="n">
        <f aca="false">E753*G753</f>
        <v>14891.2343408504</v>
      </c>
      <c r="I753" s="48" t="n">
        <f aca="false">IF(F753&lt;365,Assumptions!$G$24,IF(F753&lt;=730,Assumptions!$H$24,Assumptions!$I$24))</f>
        <v>0</v>
      </c>
      <c r="J753" s="40" t="n">
        <f aca="false">H753*I753</f>
        <v>0</v>
      </c>
      <c r="K753" s="40" t="n">
        <f aca="false">H753-J753</f>
        <v>14891.2343408504</v>
      </c>
      <c r="L753" s="40" t="n">
        <f aca="false">K753-C753</f>
        <v>2891.23434085035</v>
      </c>
      <c r="M753" s="38" t="str">
        <f aca="false">IF(F753&gt;365,"LTCG","STCG")</f>
        <v>LTCG</v>
      </c>
      <c r="N753" s="48" t="n">
        <f aca="false">IF(M753="LTCG",Assumptions!$C$12,Assumptions!$C$11)</f>
        <v>0.125</v>
      </c>
      <c r="O753" s="38" t="str">
        <f aca="false">IF(M753="STCG",MAX(L753,0)*Assumptions!$C$11,"agg. below")</f>
        <v>agg. below</v>
      </c>
    </row>
    <row r="754" customFormat="false" ht="15" hidden="false" customHeight="false" outlineLevel="1" collapsed="false">
      <c r="A754" s="33" t="str">
        <f aca="false">TEXT(SIP_Fund3_SBISmallcap!B119,"mmm-yyyy")</f>
        <v>Jul-2034</v>
      </c>
      <c r="B754" s="34" t="n">
        <f aca="false">SIP_Fund3_SBISmallcap!B119</f>
        <v>49126</v>
      </c>
      <c r="C754" s="35" t="n">
        <f aca="false">SIP_Fund3_SBISmallcap!C119</f>
        <v>12000</v>
      </c>
      <c r="D754" s="36" t="n">
        <f aca="false">SIP_Fund3_SBISmallcap!H119</f>
        <v>526.568123218678</v>
      </c>
      <c r="E754" s="37" t="n">
        <f aca="false">SIP_Fund3_SBISmallcap!I119</f>
        <v>22.7890741403967</v>
      </c>
      <c r="F754" s="33" t="n">
        <f aca="false">Assumptions!$C$5-B754</f>
        <v>563</v>
      </c>
      <c r="G754" s="36" t="n">
        <f aca="false">Assumptions!$D$24*(1+Assumptions!$F$24)^((Assumptions!$C$5-Assumptions!$C$4)/365)</f>
        <v>646.340264247885</v>
      </c>
      <c r="H754" s="35" t="n">
        <f aca="false">E754*G754</f>
        <v>14729.4962018687</v>
      </c>
      <c r="I754" s="47" t="n">
        <f aca="false">IF(F754&lt;365,Assumptions!$G$24,IF(F754&lt;=730,Assumptions!$H$24,Assumptions!$I$24))</f>
        <v>0</v>
      </c>
      <c r="J754" s="35" t="n">
        <f aca="false">H754*I754</f>
        <v>0</v>
      </c>
      <c r="K754" s="35" t="n">
        <f aca="false">H754-J754</f>
        <v>14729.4962018687</v>
      </c>
      <c r="L754" s="35" t="n">
        <f aca="false">K754-C754</f>
        <v>2729.49620186865</v>
      </c>
      <c r="M754" s="33" t="str">
        <f aca="false">IF(F754&gt;365,"LTCG","STCG")</f>
        <v>LTCG</v>
      </c>
      <c r="N754" s="47" t="n">
        <f aca="false">IF(M754="LTCG",Assumptions!$C$12,Assumptions!$C$11)</f>
        <v>0.125</v>
      </c>
      <c r="O754" s="33" t="str">
        <f aca="false">IF(M754="STCG",MAX(L754,0)*Assumptions!$C$11,"agg. below")</f>
        <v>agg. below</v>
      </c>
    </row>
    <row r="755" customFormat="false" ht="15" hidden="false" customHeight="false" outlineLevel="1" collapsed="false">
      <c r="A755" s="38" t="str">
        <f aca="false">TEXT(SIP_Fund3_SBISmallcap!B120,"mmm-yyyy")</f>
        <v>Aug-2034</v>
      </c>
      <c r="B755" s="39" t="n">
        <f aca="false">SIP_Fund3_SBISmallcap!B120</f>
        <v>49157</v>
      </c>
      <c r="C755" s="40" t="n">
        <f aca="false">SIP_Fund3_SBISmallcap!C120</f>
        <v>12000</v>
      </c>
      <c r="D755" s="41" t="n">
        <f aca="false">SIP_Fund3_SBISmallcap!H120</f>
        <v>532.543960257697</v>
      </c>
      <c r="E755" s="42" t="n">
        <f aca="false">SIP_Fund3_SBISmallcap!I120</f>
        <v>22.5333510386508</v>
      </c>
      <c r="F755" s="38" t="n">
        <f aca="false">Assumptions!$C$5-B755</f>
        <v>532</v>
      </c>
      <c r="G755" s="41" t="n">
        <f aca="false">Assumptions!$D$24*(1+Assumptions!$F$24)^((Assumptions!$C$5-Assumptions!$C$4)/365)</f>
        <v>646.340264247885</v>
      </c>
      <c r="H755" s="40" t="n">
        <f aca="false">E755*G755</f>
        <v>14564.2120647119</v>
      </c>
      <c r="I755" s="48" t="n">
        <f aca="false">IF(F755&lt;365,Assumptions!$G$24,IF(F755&lt;=730,Assumptions!$H$24,Assumptions!$I$24))</f>
        <v>0</v>
      </c>
      <c r="J755" s="40" t="n">
        <f aca="false">H755*I755</f>
        <v>0</v>
      </c>
      <c r="K755" s="40" t="n">
        <f aca="false">H755-J755</f>
        <v>14564.2120647119</v>
      </c>
      <c r="L755" s="40" t="n">
        <f aca="false">K755-C755</f>
        <v>2564.21206471193</v>
      </c>
      <c r="M755" s="38" t="str">
        <f aca="false">IF(F755&gt;365,"LTCG","STCG")</f>
        <v>LTCG</v>
      </c>
      <c r="N755" s="48" t="n">
        <f aca="false">IF(M755="LTCG",Assumptions!$C$12,Assumptions!$C$11)</f>
        <v>0.125</v>
      </c>
      <c r="O755" s="38" t="str">
        <f aca="false">IF(M755="STCG",MAX(L755,0)*Assumptions!$C$11,"agg. below")</f>
        <v>agg. below</v>
      </c>
    </row>
    <row r="756" customFormat="false" ht="15" hidden="false" customHeight="false" outlineLevel="1" collapsed="false">
      <c r="A756" s="33" t="str">
        <f aca="false">TEXT(SIP_Fund3_SBISmallcap!B121,"mmm-yyyy")</f>
        <v>Sep-2034</v>
      </c>
      <c r="B756" s="34" t="n">
        <f aca="false">SIP_Fund3_SBISmallcap!B121</f>
        <v>49188</v>
      </c>
      <c r="C756" s="35" t="n">
        <f aca="false">SIP_Fund3_SBISmallcap!C121</f>
        <v>12000</v>
      </c>
      <c r="D756" s="36" t="n">
        <f aca="false">SIP_Fund3_SBISmallcap!H121</f>
        <v>538.587614976409</v>
      </c>
      <c r="E756" s="37" t="n">
        <f aca="false">SIP_Fund3_SBISmallcap!I121</f>
        <v>22.2804974832658</v>
      </c>
      <c r="F756" s="33" t="n">
        <f aca="false">Assumptions!$C$5-B756</f>
        <v>501</v>
      </c>
      <c r="G756" s="36" t="n">
        <f aca="false">Assumptions!$D$24*(1+Assumptions!$F$24)^((Assumptions!$C$5-Assumptions!$C$4)/365)</f>
        <v>646.340264247885</v>
      </c>
      <c r="H756" s="35" t="n">
        <f aca="false">E756*G756</f>
        <v>14400.7826309084</v>
      </c>
      <c r="I756" s="47" t="n">
        <f aca="false">IF(F756&lt;365,Assumptions!$G$24,IF(F756&lt;=730,Assumptions!$H$24,Assumptions!$I$24))</f>
        <v>0</v>
      </c>
      <c r="J756" s="35" t="n">
        <f aca="false">H756*I756</f>
        <v>0</v>
      </c>
      <c r="K756" s="35" t="n">
        <f aca="false">H756-J756</f>
        <v>14400.7826309084</v>
      </c>
      <c r="L756" s="35" t="n">
        <f aca="false">K756-C756</f>
        <v>2400.78263090835</v>
      </c>
      <c r="M756" s="33" t="str">
        <f aca="false">IF(F756&gt;365,"LTCG","STCG")</f>
        <v>LTCG</v>
      </c>
      <c r="N756" s="47" t="n">
        <f aca="false">IF(M756="LTCG",Assumptions!$C$12,Assumptions!$C$11)</f>
        <v>0.125</v>
      </c>
      <c r="O756" s="33" t="str">
        <f aca="false">IF(M756="STCG",MAX(L756,0)*Assumptions!$C$11,"agg. below")</f>
        <v>agg. below</v>
      </c>
    </row>
    <row r="757" customFormat="false" ht="15" hidden="false" customHeight="false" outlineLevel="1" collapsed="false">
      <c r="A757" s="38" t="str">
        <f aca="false">TEXT(SIP_Fund3_SBISmallcap!B122,"mmm-yyyy")</f>
        <v>Oct-2034</v>
      </c>
      <c r="B757" s="39" t="n">
        <f aca="false">SIP_Fund3_SBISmallcap!B122</f>
        <v>49218</v>
      </c>
      <c r="C757" s="40" t="n">
        <f aca="false">SIP_Fund3_SBISmallcap!C122</f>
        <v>12000</v>
      </c>
      <c r="D757" s="41" t="n">
        <f aca="false">SIP_Fund3_SBISmallcap!H122</f>
        <v>544.501609408467</v>
      </c>
      <c r="E757" s="42" t="n">
        <f aca="false">SIP_Fund3_SBISmallcap!I122</f>
        <v>22.0385023527047</v>
      </c>
      <c r="F757" s="38" t="n">
        <f aca="false">Assumptions!$C$5-B757</f>
        <v>471</v>
      </c>
      <c r="G757" s="41" t="n">
        <f aca="false">Assumptions!$D$24*(1+Assumptions!$F$24)^((Assumptions!$C$5-Assumptions!$C$4)/365)</f>
        <v>646.340264247885</v>
      </c>
      <c r="H757" s="40" t="n">
        <f aca="false">E757*G757</f>
        <v>14244.3714342748</v>
      </c>
      <c r="I757" s="48" t="n">
        <f aca="false">IF(F757&lt;365,Assumptions!$G$24,IF(F757&lt;=730,Assumptions!$H$24,Assumptions!$I$24))</f>
        <v>0</v>
      </c>
      <c r="J757" s="40" t="n">
        <f aca="false">H757*I757</f>
        <v>0</v>
      </c>
      <c r="K757" s="40" t="n">
        <f aca="false">H757-J757</f>
        <v>14244.3714342748</v>
      </c>
      <c r="L757" s="40" t="n">
        <f aca="false">K757-C757</f>
        <v>2244.3714342748</v>
      </c>
      <c r="M757" s="38" t="str">
        <f aca="false">IF(F757&gt;365,"LTCG","STCG")</f>
        <v>LTCG</v>
      </c>
      <c r="N757" s="48" t="n">
        <f aca="false">IF(M757="LTCG",Assumptions!$C$12,Assumptions!$C$11)</f>
        <v>0.125</v>
      </c>
      <c r="O757" s="38" t="str">
        <f aca="false">IF(M757="STCG",MAX(L757,0)*Assumptions!$C$11,"agg. below")</f>
        <v>agg. below</v>
      </c>
    </row>
    <row r="758" customFormat="false" ht="15" hidden="false" customHeight="false" outlineLevel="1" collapsed="false">
      <c r="A758" s="33" t="str">
        <f aca="false">TEXT(SIP_Fund3_SBISmallcap!B123,"mmm-yyyy")</f>
        <v>Nov-2034</v>
      </c>
      <c r="B758" s="34" t="n">
        <f aca="false">SIP_Fund3_SBISmallcap!B123</f>
        <v>49249</v>
      </c>
      <c r="C758" s="35" t="n">
        <f aca="false">SIP_Fund3_SBISmallcap!C123</f>
        <v>12000</v>
      </c>
      <c r="D758" s="36" t="n">
        <f aca="false">SIP_Fund3_SBISmallcap!H123</f>
        <v>550.68096729557</v>
      </c>
      <c r="E758" s="37" t="n">
        <f aca="false">SIP_Fund3_SBISmallcap!I123</f>
        <v>21.791201644271</v>
      </c>
      <c r="F758" s="33" t="n">
        <f aca="false">Assumptions!$C$5-B758</f>
        <v>440</v>
      </c>
      <c r="G758" s="36" t="n">
        <f aca="false">Assumptions!$D$24*(1+Assumptions!$F$24)^((Assumptions!$C$5-Assumptions!$C$4)/365)</f>
        <v>646.340264247885</v>
      </c>
      <c r="H758" s="35" t="n">
        <f aca="false">E758*G758</f>
        <v>14084.5310290371</v>
      </c>
      <c r="I758" s="47" t="n">
        <f aca="false">IF(F758&lt;365,Assumptions!$G$24,IF(F758&lt;=730,Assumptions!$H$24,Assumptions!$I$24))</f>
        <v>0</v>
      </c>
      <c r="J758" s="35" t="n">
        <f aca="false">H758*I758</f>
        <v>0</v>
      </c>
      <c r="K758" s="35" t="n">
        <f aca="false">H758-J758</f>
        <v>14084.5310290371</v>
      </c>
      <c r="L758" s="35" t="n">
        <f aca="false">K758-C758</f>
        <v>2084.53102903709</v>
      </c>
      <c r="M758" s="33" t="str">
        <f aca="false">IF(F758&gt;365,"LTCG","STCG")</f>
        <v>LTCG</v>
      </c>
      <c r="N758" s="47" t="n">
        <f aca="false">IF(M758="LTCG",Assumptions!$C$12,Assumptions!$C$11)</f>
        <v>0.125</v>
      </c>
      <c r="O758" s="33" t="str">
        <f aca="false">IF(M758="STCG",MAX(L758,0)*Assumptions!$C$11,"agg. below")</f>
        <v>agg. below</v>
      </c>
    </row>
    <row r="759" customFormat="false" ht="15" hidden="false" customHeight="false" outlineLevel="1" collapsed="false">
      <c r="A759" s="38" t="str">
        <f aca="false">TEXT(SIP_Fund3_SBISmallcap!B124,"mmm-yyyy")</f>
        <v>Dec-2034</v>
      </c>
      <c r="B759" s="39" t="n">
        <f aca="false">SIP_Fund3_SBISmallcap!B124</f>
        <v>49279</v>
      </c>
      <c r="C759" s="40" t="n">
        <f aca="false">SIP_Fund3_SBISmallcap!C124</f>
        <v>12000</v>
      </c>
      <c r="D759" s="41" t="n">
        <f aca="false">SIP_Fund3_SBISmallcap!H124</f>
        <v>556.72775352657</v>
      </c>
      <c r="E759" s="42" t="n">
        <f aca="false">SIP_Fund3_SBISmallcap!I124</f>
        <v>21.5545209017989</v>
      </c>
      <c r="F759" s="38" t="n">
        <f aca="false">Assumptions!$C$5-B759</f>
        <v>410</v>
      </c>
      <c r="G759" s="41" t="n">
        <f aca="false">Assumptions!$D$24*(1+Assumptions!$F$24)^((Assumptions!$C$5-Assumptions!$C$4)/365)</f>
        <v>646.340264247885</v>
      </c>
      <c r="H759" s="40" t="n">
        <f aca="false">E759*G759</f>
        <v>13931.5547354053</v>
      </c>
      <c r="I759" s="48" t="n">
        <f aca="false">IF(F759&lt;365,Assumptions!$G$24,IF(F759&lt;=730,Assumptions!$H$24,Assumptions!$I$24))</f>
        <v>0</v>
      </c>
      <c r="J759" s="40" t="n">
        <f aca="false">H759*I759</f>
        <v>0</v>
      </c>
      <c r="K759" s="40" t="n">
        <f aca="false">H759-J759</f>
        <v>13931.5547354053</v>
      </c>
      <c r="L759" s="40" t="n">
        <f aca="false">K759-C759</f>
        <v>1931.55473540526</v>
      </c>
      <c r="M759" s="38" t="str">
        <f aca="false">IF(F759&gt;365,"LTCG","STCG")</f>
        <v>LTCG</v>
      </c>
      <c r="N759" s="48" t="n">
        <f aca="false">IF(M759="LTCG",Assumptions!$C$12,Assumptions!$C$11)</f>
        <v>0.125</v>
      </c>
      <c r="O759" s="38" t="str">
        <f aca="false">IF(M759="STCG",MAX(L759,0)*Assumptions!$C$11,"agg. below")</f>
        <v>agg. below</v>
      </c>
    </row>
    <row r="760" customFormat="false" ht="15" hidden="false" customHeight="false" outlineLevel="0" collapsed="false">
      <c r="A760" s="49" t="s">
        <v>147</v>
      </c>
      <c r="B760" s="49"/>
      <c r="C760" s="44" t="n">
        <f aca="false">SUM(C640:C759)</f>
        <v>900000</v>
      </c>
      <c r="D760" s="49"/>
      <c r="E760" s="49"/>
      <c r="F760" s="49"/>
      <c r="G760" s="49"/>
      <c r="H760" s="44" t="n">
        <f aca="false">SUM(H640:H759)</f>
        <v>1863589.69561535</v>
      </c>
      <c r="I760" s="49"/>
      <c r="J760" s="44" t="n">
        <f aca="false">SUM(J640:J759)</f>
        <v>0</v>
      </c>
      <c r="K760" s="44" t="n">
        <f aca="false">SUM(K640:K759)</f>
        <v>1863589.69561535</v>
      </c>
      <c r="L760" s="44" t="n">
        <f aca="false">SUM(L640:L759)</f>
        <v>963589.695615351</v>
      </c>
      <c r="M760" s="49"/>
      <c r="N760" s="49"/>
      <c r="O760" s="44" t="n">
        <f aca="false">SUMIF(M640:M759,"STCG",O640:O759)+MAX(0,SUMIF(M640:M759,"LTCG",L640:L759)-Assumptions!$C$13)*Assumptions!$C$12</f>
        <v>104823.711951919</v>
      </c>
    </row>
    <row r="761" customFormat="false" ht="15" hidden="false" customHeight="false" outlineLevel="0" collapsed="false">
      <c r="A761" s="50" t="s">
        <v>148</v>
      </c>
      <c r="B761" s="50"/>
      <c r="C761" s="50"/>
      <c r="D761" s="50"/>
      <c r="E761" s="50"/>
      <c r="F761" s="50"/>
      <c r="G761" s="50"/>
      <c r="H761" s="50"/>
      <c r="I761" s="50"/>
      <c r="J761" s="50"/>
      <c r="K761" s="50"/>
      <c r="L761" s="50"/>
      <c r="M761" s="50"/>
      <c r="N761" s="50"/>
      <c r="O761" s="51" t="n">
        <f aca="false">K760-O760</f>
        <v>1758765.98366343</v>
      </c>
    </row>
    <row r="763" customFormat="false" ht="15" hidden="false" customHeight="false" outlineLevel="0" collapsed="false">
      <c r="A763" s="52" t="s">
        <v>152</v>
      </c>
      <c r="O763" s="53" t="n">
        <f aca="false">O636-O761</f>
        <v>69010.2568786128</v>
      </c>
    </row>
  </sheetData>
  <mergeCells count="3">
    <mergeCell ref="A4:O4"/>
    <mergeCell ref="A258:O258"/>
    <mergeCell ref="A512:O51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2" min="2" style="1" width="11"/>
    <col collapsed="false" customWidth="true" hidden="false" outlineLevel="0" max="3" min="3" style="1" width="15"/>
    <col collapsed="false" customWidth="true" hidden="false" outlineLevel="0" max="5" min="4" style="1" width="17"/>
    <col collapsed="false" customWidth="true" hidden="false" outlineLevel="0" max="6" min="6" style="1" width="16"/>
    <col collapsed="false" customWidth="true" hidden="false" outlineLevel="0" max="7" min="7" style="1" width="13"/>
    <col collapsed="false" customWidth="true" hidden="false" outlineLevel="0" max="9" min="8" style="1" width="18"/>
  </cols>
  <sheetData>
    <row r="1" customFormat="false" ht="19.7" hidden="false" customHeight="false" outlineLevel="0" collapsed="false">
      <c r="A1" s="2" t="s">
        <v>153</v>
      </c>
    </row>
    <row r="2" customFormat="false" ht="15" hidden="false" customHeight="false" outlineLevel="0" collapsed="false">
      <c r="A2" s="3" t="s">
        <v>154</v>
      </c>
    </row>
    <row r="4" customFormat="false" ht="43.5" hidden="false" customHeight="true" outlineLevel="0" collapsed="false">
      <c r="A4" s="6" t="s">
        <v>43</v>
      </c>
      <c r="B4" s="6" t="s">
        <v>44</v>
      </c>
      <c r="C4" s="6" t="s">
        <v>155</v>
      </c>
      <c r="D4" s="6" t="s">
        <v>156</v>
      </c>
      <c r="E4" s="6" t="s">
        <v>157</v>
      </c>
      <c r="F4" s="6" t="s">
        <v>158</v>
      </c>
      <c r="G4" s="6" t="s">
        <v>159</v>
      </c>
      <c r="H4" s="6" t="s">
        <v>160</v>
      </c>
      <c r="I4" s="6" t="s">
        <v>161</v>
      </c>
    </row>
    <row r="5" customFormat="false" ht="19.5" hidden="false" customHeight="true" outlineLevel="0" collapsed="false">
      <c r="A5" s="12" t="s">
        <v>53</v>
      </c>
      <c r="B5" s="12" t="s">
        <v>54</v>
      </c>
      <c r="C5" s="14" t="n">
        <f aca="false">SIP_Fund1_PPFAS!L124</f>
        <v>900000</v>
      </c>
      <c r="D5" s="14" t="n">
        <f aca="false">SIP_Fund1_PPFAS!G124</f>
        <v>1461867.71569471</v>
      </c>
      <c r="E5" s="14" t="n">
        <f aca="false">SIP_Fund1_PPFAS!K124</f>
        <v>1430285.39366736</v>
      </c>
      <c r="F5" s="14" t="n">
        <f aca="false">D5-E5</f>
        <v>31582.322027344</v>
      </c>
      <c r="G5" s="54" t="n">
        <f aca="false">F5/D5</f>
        <v>0.0216040902253153</v>
      </c>
      <c r="H5" s="14" t="n">
        <f aca="false">Withdrawal_Jan2036!O128</f>
        <v>1579536.64075838</v>
      </c>
      <c r="I5" s="14" t="n">
        <f aca="false">Withdrawal_Jan2036!O253</f>
        <v>1540749.50620231</v>
      </c>
    </row>
    <row r="6" customFormat="false" ht="19.5" hidden="false" customHeight="true" outlineLevel="0" collapsed="false">
      <c r="A6" s="7" t="s">
        <v>64</v>
      </c>
      <c r="B6" s="7" t="s">
        <v>65</v>
      </c>
      <c r="C6" s="9" t="n">
        <f aca="false">SIP_Fund2_HDFCMidcap!L124</f>
        <v>900000</v>
      </c>
      <c r="D6" s="9" t="n">
        <f aca="false">SIP_Fund2_HDFCMidcap!G124</f>
        <v>1590928.91225411</v>
      </c>
      <c r="E6" s="9" t="n">
        <f aca="false">SIP_Fund2_HDFCMidcap!K124</f>
        <v>1558819.16165962</v>
      </c>
      <c r="F6" s="9" t="n">
        <f aca="false">D6-E6</f>
        <v>32109.75059449</v>
      </c>
      <c r="G6" s="11" t="n">
        <f aca="false">F6/D6</f>
        <v>0.0201830203393534</v>
      </c>
      <c r="H6" s="9" t="n">
        <f aca="false">Withdrawal_Jan2036!O382</f>
        <v>1740920.6573957</v>
      </c>
      <c r="I6" s="9" t="n">
        <f aca="false">Withdrawal_Jan2036!O507</f>
        <v>1700897.53636444</v>
      </c>
    </row>
    <row r="7" customFormat="false" ht="19.5" hidden="false" customHeight="true" outlineLevel="0" collapsed="false">
      <c r="A7" s="12" t="s">
        <v>72</v>
      </c>
      <c r="B7" s="12" t="s">
        <v>73</v>
      </c>
      <c r="C7" s="14" t="n">
        <f aca="false">SIP_Fund3_SBISmallcap!L124</f>
        <v>900000</v>
      </c>
      <c r="D7" s="14" t="n">
        <f aca="false">SIP_Fund3_SBISmallcap!G124</f>
        <v>1660239.05865887</v>
      </c>
      <c r="E7" s="14" t="n">
        <f aca="false">SIP_Fund3_SBISmallcap!K124</f>
        <v>1605210.38549641</v>
      </c>
      <c r="F7" s="14" t="n">
        <f aca="false">D7-E7</f>
        <v>55028.673162462</v>
      </c>
      <c r="G7" s="54" t="n">
        <f aca="false">F7/D7</f>
        <v>0.0331450298530584</v>
      </c>
      <c r="H7" s="14" t="n">
        <f aca="false">Withdrawal_Jan2036!O636</f>
        <v>1827776.24054205</v>
      </c>
      <c r="I7" s="14" t="n">
        <f aca="false">Withdrawal_Jan2036!O761</f>
        <v>1758765.98366343</v>
      </c>
    </row>
    <row r="9" customFormat="false" ht="15" hidden="false" customHeight="false" outlineLevel="0" collapsed="false">
      <c r="A9" s="23" t="s">
        <v>162</v>
      </c>
      <c r="B9" s="23"/>
      <c r="C9" s="23"/>
      <c r="D9" s="23"/>
      <c r="E9" s="23"/>
      <c r="F9" s="23"/>
      <c r="G9" s="23"/>
      <c r="H9" s="23"/>
      <c r="I9" s="23"/>
    </row>
  </sheetData>
  <mergeCells count="1">
    <mergeCell ref="A9:I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13"/>
    <col collapsed="false" customWidth="true" hidden="false" outlineLevel="0" max="3" min="3" style="1" width="16"/>
    <col collapsed="false" customWidth="true" hidden="false" outlineLevel="0" max="4" min="4" style="1" width="12"/>
    <col collapsed="false" customWidth="true" hidden="false" outlineLevel="0" max="5" min="5" style="1" width="18"/>
    <col collapsed="false" customWidth="true" hidden="false" outlineLevel="0" max="6" min="6" style="1" width="14"/>
    <col collapsed="false" customWidth="true" hidden="false" outlineLevel="0" max="7" min="7" style="1" width="16"/>
    <col collapsed="false" customWidth="true" hidden="false" outlineLevel="0" max="8" min="8" style="1" width="13"/>
    <col collapsed="false" customWidth="true" hidden="false" outlineLevel="0" max="10" min="9" style="1" width="10"/>
    <col collapsed="false" customWidth="true" hidden="false" outlineLevel="0" max="11" min="11" style="1" width="14"/>
  </cols>
  <sheetData>
    <row r="1" customFormat="false" ht="19.7" hidden="false" customHeight="false" outlineLevel="0" collapsed="false">
      <c r="A1" s="2" t="s">
        <v>163</v>
      </c>
    </row>
    <row r="2" customFormat="false" ht="15" hidden="false" customHeight="false" outlineLevel="0" collapsed="false">
      <c r="A2" s="3" t="s">
        <v>164</v>
      </c>
    </row>
    <row r="4" customFormat="false" ht="42" hidden="false" customHeight="true" outlineLevel="0" collapsed="false">
      <c r="A4" s="6" t="s">
        <v>114</v>
      </c>
      <c r="B4" s="6" t="s">
        <v>165</v>
      </c>
      <c r="C4" s="6" t="s">
        <v>166</v>
      </c>
      <c r="D4" s="6" t="s">
        <v>167</v>
      </c>
      <c r="E4" s="6" t="s">
        <v>168</v>
      </c>
      <c r="F4" s="6" t="s">
        <v>169</v>
      </c>
      <c r="G4" s="6" t="s">
        <v>170</v>
      </c>
      <c r="H4" s="6" t="s">
        <v>171</v>
      </c>
      <c r="I4" s="6" t="s">
        <v>172</v>
      </c>
      <c r="J4" s="6" t="s">
        <v>173</v>
      </c>
      <c r="K4" s="6" t="s">
        <v>174</v>
      </c>
    </row>
    <row r="5" customFormat="false" ht="15" hidden="false" customHeight="false" outlineLevel="0" collapsed="false">
      <c r="A5" s="29" t="n">
        <v>1</v>
      </c>
      <c r="B5" s="55" t="n">
        <f aca="false">Assumptions!$C$30</f>
        <v>45658</v>
      </c>
      <c r="C5" s="56" t="n">
        <f aca="false">Assumptions!$C$28</f>
        <v>500000</v>
      </c>
      <c r="D5" s="56" t="n">
        <f aca="false">Assumptions!$C$28/Assumptions!$C$29</f>
        <v>50000</v>
      </c>
      <c r="E5" s="56" t="n">
        <f aca="false">C5-D5</f>
        <v>450000</v>
      </c>
      <c r="F5" s="56" t="n">
        <f aca="false">E5*((1+Assumptions!$C$31)^(1/12)-1)</f>
        <v>2367.76242458149</v>
      </c>
      <c r="G5" s="56" t="n">
        <f aca="false">E5+F5</f>
        <v>452367.762424582</v>
      </c>
      <c r="H5" s="57" t="n">
        <f aca="false">Assumptions!$D$19*(1+Assumptions!$F$19)^((B5-Assumptions!$C$4)/365)</f>
        <v>75</v>
      </c>
      <c r="I5" s="58" t="n">
        <f aca="false">D5/H5</f>
        <v>666.666666666667</v>
      </c>
      <c r="J5" s="58" t="n">
        <f aca="false">I5</f>
        <v>666.666666666667</v>
      </c>
      <c r="K5" s="56" t="n">
        <f aca="false">J5*H5</f>
        <v>50000</v>
      </c>
    </row>
    <row r="6" customFormat="false" ht="15" hidden="false" customHeight="false" outlineLevel="0" collapsed="false">
      <c r="A6" s="24" t="n">
        <v>2</v>
      </c>
      <c r="B6" s="59" t="n">
        <f aca="false">EDATE(B5,1)</f>
        <v>45689</v>
      </c>
      <c r="C6" s="60" t="n">
        <f aca="false">G5</f>
        <v>452367.762424582</v>
      </c>
      <c r="D6" s="60" t="n">
        <f aca="false">Assumptions!$C$28/Assumptions!$C$29</f>
        <v>50000</v>
      </c>
      <c r="E6" s="60" t="n">
        <f aca="false">C6-D6</f>
        <v>402367.762424582</v>
      </c>
      <c r="F6" s="60" t="n">
        <f aca="false">E6*((1+Assumptions!$C$31)^(1/12)-1)</f>
        <v>2117.13615273746</v>
      </c>
      <c r="G6" s="60" t="n">
        <f aca="false">E6+F6</f>
        <v>404484.898577319</v>
      </c>
      <c r="H6" s="61" t="n">
        <f aca="false">Assumptions!$D$19*(1+Assumptions!$F$19)^((B6-Assumptions!$C$4)/365)</f>
        <v>75.7253735247358</v>
      </c>
      <c r="I6" s="62" t="n">
        <f aca="false">D6/H6</f>
        <v>660.280665154692</v>
      </c>
      <c r="J6" s="62" t="n">
        <f aca="false">J5+I6</f>
        <v>1326.94733182136</v>
      </c>
      <c r="K6" s="60" t="n">
        <f aca="false">J6*H6</f>
        <v>100483.582349824</v>
      </c>
    </row>
    <row r="7" customFormat="false" ht="15" hidden="false" customHeight="false" outlineLevel="0" collapsed="false">
      <c r="A7" s="29" t="n">
        <v>3</v>
      </c>
      <c r="B7" s="55" t="n">
        <f aca="false">EDATE(B6,1)</f>
        <v>45717</v>
      </c>
      <c r="C7" s="56" t="n">
        <f aca="false">G6</f>
        <v>404484.898577319</v>
      </c>
      <c r="D7" s="56" t="n">
        <f aca="false">Assumptions!$C$28/Assumptions!$C$29</f>
        <v>50000</v>
      </c>
      <c r="E7" s="56" t="n">
        <f aca="false">C7-D7</f>
        <v>354484.898577319</v>
      </c>
      <c r="F7" s="56" t="n">
        <f aca="false">E7*((1+Assumptions!$C$31)^(1/12)-1)</f>
        <v>1865.19116207323</v>
      </c>
      <c r="G7" s="56" t="n">
        <f aca="false">E7+F7</f>
        <v>356350.089739392</v>
      </c>
      <c r="H7" s="57" t="n">
        <f aca="false">Assumptions!$D$19*(1+Assumptions!$F$19)^((B7-Assumptions!$C$4)/365)</f>
        <v>76.3865777558799</v>
      </c>
      <c r="I7" s="58" t="n">
        <f aca="false">D7/H7</f>
        <v>654.565258307455</v>
      </c>
      <c r="J7" s="58" t="n">
        <f aca="false">J6+I7</f>
        <v>1981.51259012881</v>
      </c>
      <c r="K7" s="56" t="n">
        <f aca="false">J7*H7</f>
        <v>151360.96554013</v>
      </c>
    </row>
    <row r="8" customFormat="false" ht="15" hidden="false" customHeight="false" outlineLevel="0" collapsed="false">
      <c r="A8" s="24" t="n">
        <v>4</v>
      </c>
      <c r="B8" s="59" t="n">
        <f aca="false">EDATE(B7,1)</f>
        <v>45748</v>
      </c>
      <c r="C8" s="60" t="n">
        <f aca="false">G7</f>
        <v>356350.089739392</v>
      </c>
      <c r="D8" s="60" t="n">
        <f aca="false">Assumptions!$C$28/Assumptions!$C$29</f>
        <v>50000</v>
      </c>
      <c r="E8" s="60" t="n">
        <f aca="false">C8-D8</f>
        <v>306350.089739392</v>
      </c>
      <c r="F8" s="60" t="n">
        <f aca="false">E8*((1+Assumptions!$C$31)^(1/12)-1)</f>
        <v>1611.92051389355</v>
      </c>
      <c r="G8" s="60" t="n">
        <f aca="false">E8+F8</f>
        <v>307962.010253286</v>
      </c>
      <c r="H8" s="61" t="n">
        <f aca="false">Assumptions!$D$19*(1+Assumptions!$F$19)^((B8-Assumptions!$C$4)/365)</f>
        <v>77.1253617712037</v>
      </c>
      <c r="I8" s="62" t="n">
        <f aca="false">D8/H8</f>
        <v>648.295176213598</v>
      </c>
      <c r="J8" s="62" t="n">
        <f aca="false">J7+I8</f>
        <v>2629.80776634241</v>
      </c>
      <c r="K8" s="60" t="n">
        <f aca="false">J8*H8</f>
        <v>202824.87536788</v>
      </c>
    </row>
    <row r="9" customFormat="false" ht="15" hidden="false" customHeight="false" outlineLevel="0" collapsed="false">
      <c r="A9" s="29" t="n">
        <v>5</v>
      </c>
      <c r="B9" s="55" t="n">
        <f aca="false">EDATE(B8,1)</f>
        <v>45778</v>
      </c>
      <c r="C9" s="56" t="n">
        <f aca="false">G8</f>
        <v>307962.010253286</v>
      </c>
      <c r="D9" s="56" t="n">
        <f aca="false">Assumptions!$C$28/Assumptions!$C$29</f>
        <v>50000</v>
      </c>
      <c r="E9" s="56" t="n">
        <f aca="false">C9-D9</f>
        <v>257962.010253286</v>
      </c>
      <c r="F9" s="56" t="n">
        <f aca="false">E9*((1+Assumptions!$C$31)^(1/12)-1)</f>
        <v>1357.31723299385</v>
      </c>
      <c r="G9" s="56" t="n">
        <f aca="false">E9+F9</f>
        <v>259319.32748628</v>
      </c>
      <c r="H9" s="57" t="n">
        <f aca="false">Assumptions!$D$19*(1+Assumptions!$F$19)^((B9-Assumptions!$C$4)/365)</f>
        <v>77.8471165758647</v>
      </c>
      <c r="I9" s="58" t="n">
        <f aca="false">D9/H9</f>
        <v>642.28454693339</v>
      </c>
      <c r="J9" s="58" t="n">
        <f aca="false">J8+I9</f>
        <v>3272.0923132758</v>
      </c>
      <c r="K9" s="56" t="n">
        <f aca="false">J9*H9</f>
        <v>254722.951758572</v>
      </c>
    </row>
    <row r="10" customFormat="false" ht="15" hidden="false" customHeight="false" outlineLevel="0" collapsed="false">
      <c r="A10" s="24" t="n">
        <v>6</v>
      </c>
      <c r="B10" s="59" t="n">
        <f aca="false">EDATE(B9,1)</f>
        <v>45809</v>
      </c>
      <c r="C10" s="60" t="n">
        <f aca="false">G9</f>
        <v>259319.32748628</v>
      </c>
      <c r="D10" s="60" t="n">
        <f aca="false">Assumptions!$C$28/Assumptions!$C$29</f>
        <v>50000</v>
      </c>
      <c r="E10" s="60" t="n">
        <f aca="false">C10-D10</f>
        <v>209319.32748628</v>
      </c>
      <c r="F10" s="60" t="n">
        <f aca="false">E10*((1+Assumptions!$C$31)^(1/12)-1)</f>
        <v>1101.37430746818</v>
      </c>
      <c r="G10" s="60" t="n">
        <f aca="false">E10+F10</f>
        <v>210420.701793748</v>
      </c>
      <c r="H10" s="61" t="n">
        <f aca="false">Assumptions!$D$19*(1+Assumptions!$F$19)^((B10-Assumptions!$C$4)/365)</f>
        <v>78.60002640708</v>
      </c>
      <c r="I10" s="62" t="n">
        <f aca="false">D10/H10</f>
        <v>636.132101801637</v>
      </c>
      <c r="J10" s="62" t="n">
        <f aca="false">J9+I10</f>
        <v>3908.22441507744</v>
      </c>
      <c r="K10" s="60" t="n">
        <f aca="false">J10*H10</f>
        <v>307186.542229881</v>
      </c>
    </row>
    <row r="11" customFormat="false" ht="15" hidden="false" customHeight="false" outlineLevel="0" collapsed="false">
      <c r="A11" s="29" t="n">
        <v>7</v>
      </c>
      <c r="B11" s="55" t="n">
        <f aca="false">EDATE(B10,1)</f>
        <v>45839</v>
      </c>
      <c r="C11" s="56" t="n">
        <f aca="false">G10</f>
        <v>210420.701793748</v>
      </c>
      <c r="D11" s="56" t="n">
        <f aca="false">Assumptions!$C$28/Assumptions!$C$29</f>
        <v>50000</v>
      </c>
      <c r="E11" s="56" t="n">
        <f aca="false">C11-D11</f>
        <v>160420.701793748</v>
      </c>
      <c r="F11" s="56" t="n">
        <f aca="false">E11*((1+Assumptions!$C$31)^(1/12)-1)</f>
        <v>844.084688516062</v>
      </c>
      <c r="G11" s="56" t="n">
        <f aca="false">E11+F11</f>
        <v>161264.786482264</v>
      </c>
      <c r="H11" s="57" t="n">
        <f aca="false">Assumptions!$D$19*(1+Assumptions!$F$19)^((B11-Assumptions!$C$4)/365)</f>
        <v>79.3355814230043</v>
      </c>
      <c r="I11" s="58" t="n">
        <f aca="false">D11/H11</f>
        <v>630.234241725767</v>
      </c>
      <c r="J11" s="58" t="n">
        <f aca="false">J10+I11</f>
        <v>4538.45865680321</v>
      </c>
      <c r="K11" s="56" t="n">
        <f aca="false">J11*H11</f>
        <v>360061.256301749</v>
      </c>
    </row>
    <row r="12" customFormat="false" ht="15" hidden="false" customHeight="false" outlineLevel="0" collapsed="false">
      <c r="A12" s="24" t="n">
        <v>8</v>
      </c>
      <c r="B12" s="59" t="n">
        <f aca="false">EDATE(B11,1)</f>
        <v>45870</v>
      </c>
      <c r="C12" s="60" t="n">
        <f aca="false">G11</f>
        <v>161264.786482264</v>
      </c>
      <c r="D12" s="60" t="n">
        <f aca="false">Assumptions!$C$28/Assumptions!$C$29</f>
        <v>50000</v>
      </c>
      <c r="E12" s="60" t="n">
        <f aca="false">C12-D12</f>
        <v>111264.786482264</v>
      </c>
      <c r="F12" s="60" t="n">
        <f aca="false">E12*((1+Assumptions!$C$31)^(1/12)-1)</f>
        <v>585.441290248415</v>
      </c>
      <c r="G12" s="60" t="n">
        <f aca="false">E12+F12</f>
        <v>111850.227772512</v>
      </c>
      <c r="H12" s="61" t="n">
        <f aca="false">Assumptions!$D$19*(1+Assumptions!$F$19)^((B12-Assumptions!$C$4)/365)</f>
        <v>80.1028871607879</v>
      </c>
      <c r="I12" s="62" t="n">
        <f aca="false">D12/H12</f>
        <v>624.197226494928</v>
      </c>
      <c r="J12" s="62" t="n">
        <f aca="false">J11+I12</f>
        <v>5162.65588329813</v>
      </c>
      <c r="K12" s="60" t="n">
        <f aca="false">J12*H12</f>
        <v>413543.641669808</v>
      </c>
    </row>
    <row r="13" customFormat="false" ht="15" hidden="false" customHeight="false" outlineLevel="0" collapsed="false">
      <c r="A13" s="29" t="n">
        <v>9</v>
      </c>
      <c r="B13" s="55" t="n">
        <f aca="false">EDATE(B12,1)</f>
        <v>45901</v>
      </c>
      <c r="C13" s="56" t="n">
        <f aca="false">G12</f>
        <v>111850.227772512</v>
      </c>
      <c r="D13" s="56" t="n">
        <f aca="false">Assumptions!$C$28/Assumptions!$C$29</f>
        <v>50000</v>
      </c>
      <c r="E13" s="56" t="n">
        <f aca="false">C13-D13</f>
        <v>61850.2277725123</v>
      </c>
      <c r="F13" s="56" t="n">
        <f aca="false">E13*((1+Assumptions!$C$31)^(1/12)-1)</f>
        <v>325.436989492358</v>
      </c>
      <c r="G13" s="56" t="n">
        <f aca="false">E13+F13</f>
        <v>62175.6647620047</v>
      </c>
      <c r="H13" s="57" t="n">
        <f aca="false">Assumptions!$D$19*(1+Assumptions!$F$19)^((B13-Assumptions!$C$4)/365)</f>
        <v>80.8776140088056</v>
      </c>
      <c r="I13" s="58" t="n">
        <f aca="false">D13/H13</f>
        <v>618.218039846678</v>
      </c>
      <c r="J13" s="58" t="n">
        <f aca="false">J12+I13</f>
        <v>5780.87392314481</v>
      </c>
      <c r="K13" s="56" t="n">
        <f aca="false">J13*H13</f>
        <v>467543.289789676</v>
      </c>
    </row>
    <row r="14" customFormat="false" ht="15" hidden="false" customHeight="false" outlineLevel="0" collapsed="false">
      <c r="A14" s="24" t="n">
        <v>10</v>
      </c>
      <c r="B14" s="59" t="n">
        <f aca="false">EDATE(B13,1)</f>
        <v>45931</v>
      </c>
      <c r="C14" s="60" t="n">
        <f aca="false">G13</f>
        <v>62175.6647620047</v>
      </c>
      <c r="D14" s="60" t="n">
        <f aca="false">Assumptions!$C$28/Assumptions!$C$29</f>
        <v>50000</v>
      </c>
      <c r="E14" s="60" t="n">
        <f aca="false">C14-D14</f>
        <v>12175.6647620047</v>
      </c>
      <c r="F14" s="60" t="n">
        <f aca="false">E14*((1+Assumptions!$C$31)^(1/12)-1)</f>
        <v>64.0646255950567</v>
      </c>
      <c r="G14" s="60" t="n">
        <f aca="false">E14+F14</f>
        <v>12239.7293875997</v>
      </c>
      <c r="H14" s="61" t="n">
        <f aca="false">Assumptions!$D$19*(1+Assumptions!$F$19)^((B14-Assumptions!$C$4)/365)</f>
        <v>81.6344831522339</v>
      </c>
      <c r="I14" s="62" t="n">
        <f aca="false">D14/H14</f>
        <v>612.486268906227</v>
      </c>
      <c r="J14" s="62" t="n">
        <f aca="false">J13+I14</f>
        <v>6393.36019205104</v>
      </c>
      <c r="K14" s="60" t="n">
        <f aca="false">J14*H14</f>
        <v>521918.654884153</v>
      </c>
    </row>
    <row r="16" customFormat="false" ht="15" hidden="false" customHeight="false" outlineLevel="0" collapsed="false">
      <c r="A16" s="18" t="s">
        <v>175</v>
      </c>
      <c r="D16" s="63" t="n">
        <f aca="false">SUM(D5:D14)</f>
        <v>500000</v>
      </c>
    </row>
    <row r="17" customFormat="false" ht="15" hidden="false" customHeight="false" outlineLevel="0" collapsed="false">
      <c r="A17" s="18" t="s">
        <v>176</v>
      </c>
      <c r="D17" s="63" t="n">
        <f aca="false">K14</f>
        <v>521918.654884153</v>
      </c>
    </row>
    <row r="18" customFormat="false" ht="15" hidden="false" customHeight="false" outlineLevel="0" collapsed="false">
      <c r="A18" s="18" t="s">
        <v>177</v>
      </c>
      <c r="D18" s="63" t="n">
        <f aca="false">(Assumptions!$C$28/H5)*H14</f>
        <v>544229.887681559</v>
      </c>
    </row>
    <row r="19" customFormat="false" ht="15" hidden="false" customHeight="false" outlineLevel="0" collapsed="false">
      <c r="A19" s="64" t="s">
        <v>178</v>
      </c>
      <c r="D19" s="65" t="n">
        <f aca="false">D17-D18</f>
        <v>-22311.232797406</v>
      </c>
    </row>
    <row r="21" customFormat="false" ht="60" hidden="false" customHeight="true" outlineLevel="0" collapsed="false">
      <c r="A21" s="66" t="s">
        <v>179</v>
      </c>
      <c r="B21" s="66"/>
      <c r="C21" s="66"/>
      <c r="D21" s="66"/>
      <c r="E21" s="66"/>
      <c r="F21" s="66"/>
      <c r="G21" s="66"/>
      <c r="H21" s="66"/>
      <c r="I21" s="66"/>
      <c r="J21" s="66"/>
      <c r="K21" s="66"/>
    </row>
  </sheetData>
  <mergeCells count="1">
    <mergeCell ref="A21:K2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7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6" topLeftCell="C7" activePane="bottomRight" state="frozen"/>
      <selection pane="topLeft" activeCell="A1" activeCellId="0" sqref="A1"/>
      <selection pane="topRight" activeCell="C1" activeCellId="0" sqref="C1"/>
      <selection pane="bottomLeft" activeCell="A7" activeCellId="0" sqref="A7"/>
      <selection pane="bottomRight" activeCell="A1" activeCellId="0" sqref="A1"/>
    </sheetView>
  </sheetViews>
  <sheetFormatPr defaultColWidth="8.6796875" defaultRowHeight="15" zeroHeight="false" outlineLevelRow="1" outlineLevelCol="0"/>
  <cols>
    <col collapsed="false" customWidth="true" hidden="false" outlineLevel="0" max="1" min="1" style="1" width="8"/>
    <col collapsed="false" customWidth="true" hidden="false" outlineLevel="0" max="2" min="2" style="1" width="13"/>
    <col collapsed="false" customWidth="true" hidden="false" outlineLevel="0" max="4" min="3" style="1" width="15"/>
    <col collapsed="false" customWidth="true" hidden="false" outlineLevel="0" max="5" min="5" style="1" width="17"/>
    <col collapsed="false" customWidth="true" hidden="false" outlineLevel="0" max="6" min="6" style="1" width="15"/>
    <col collapsed="false" customWidth="true" hidden="false" outlineLevel="0" max="7" min="7" style="1" width="14"/>
    <col collapsed="false" customWidth="true" hidden="false" outlineLevel="0" max="8" min="8" style="1" width="17"/>
  </cols>
  <sheetData>
    <row r="1" customFormat="false" ht="19.7" hidden="false" customHeight="false" outlineLevel="0" collapsed="false">
      <c r="A1" s="2" t="s">
        <v>180</v>
      </c>
    </row>
    <row r="2" customFormat="false" ht="15" hidden="false" customHeight="false" outlineLevel="0" collapsed="false">
      <c r="A2" s="3" t="s">
        <v>181</v>
      </c>
    </row>
    <row r="4" customFormat="false" ht="15" hidden="false" customHeight="false" outlineLevel="0" collapsed="false">
      <c r="A4" s="43" t="s">
        <v>182</v>
      </c>
      <c r="E4" s="67" t="n">
        <f aca="false">SIP_Fund1_PPFAS!G124</f>
        <v>1461867.71569471</v>
      </c>
    </row>
    <row r="6" customFormat="false" ht="30" hidden="false" customHeight="true" outlineLevel="0" collapsed="false">
      <c r="A6" s="6" t="s">
        <v>114</v>
      </c>
      <c r="B6" s="6" t="s">
        <v>115</v>
      </c>
      <c r="C6" s="6" t="s">
        <v>183</v>
      </c>
      <c r="D6" s="6" t="s">
        <v>184</v>
      </c>
      <c r="E6" s="6" t="s">
        <v>185</v>
      </c>
      <c r="F6" s="6" t="s">
        <v>186</v>
      </c>
      <c r="G6" s="6" t="s">
        <v>187</v>
      </c>
      <c r="H6" s="6" t="s">
        <v>188</v>
      </c>
    </row>
    <row r="7" customFormat="false" ht="15" hidden="false" customHeight="false" outlineLevel="1" collapsed="false">
      <c r="A7" s="38" t="n">
        <v>1</v>
      </c>
      <c r="B7" s="39" t="n">
        <f aca="false">Assumptions!$C$33</f>
        <v>49310</v>
      </c>
      <c r="C7" s="40" t="n">
        <f aca="false">$E$4</f>
        <v>1461867.71569471</v>
      </c>
      <c r="D7" s="40" t="n">
        <f aca="false">C7*((1+Assumptions!$C$35)^(1/12)-1)</f>
        <v>13871.360051979</v>
      </c>
      <c r="E7" s="40" t="n">
        <f aca="false">C7+D7</f>
        <v>1475739.07574669</v>
      </c>
      <c r="F7" s="40" t="n">
        <f aca="false">MIN(Assumptions!$C$32,E7)</f>
        <v>25000</v>
      </c>
      <c r="G7" s="40" t="n">
        <f aca="false">E7-F7</f>
        <v>1450739.07574669</v>
      </c>
      <c r="H7" s="40" t="n">
        <f aca="false">F7</f>
        <v>25000</v>
      </c>
    </row>
    <row r="8" customFormat="false" ht="15" hidden="false" customHeight="false" outlineLevel="1" collapsed="false">
      <c r="A8" s="33" t="n">
        <v>2</v>
      </c>
      <c r="B8" s="34" t="n">
        <f aca="false">EDATE(B7,1)</f>
        <v>49341</v>
      </c>
      <c r="C8" s="35" t="n">
        <f aca="false">G7</f>
        <v>1450739.07574669</v>
      </c>
      <c r="D8" s="35" t="n">
        <f aca="false">C8*((1+Assumptions!$C$35)^(1/12)-1)</f>
        <v>13765.7626918687</v>
      </c>
      <c r="E8" s="35" t="n">
        <f aca="false">C8+D8</f>
        <v>1464504.83843855</v>
      </c>
      <c r="F8" s="35" t="n">
        <f aca="false">MIN(Assumptions!$C$32,E8)</f>
        <v>25000</v>
      </c>
      <c r="G8" s="35" t="n">
        <f aca="false">E8-F8</f>
        <v>1439504.83843855</v>
      </c>
      <c r="H8" s="35" t="n">
        <f aca="false">H7+F8</f>
        <v>50000</v>
      </c>
    </row>
    <row r="9" customFormat="false" ht="15" hidden="false" customHeight="false" outlineLevel="1" collapsed="false">
      <c r="A9" s="38" t="n">
        <v>3</v>
      </c>
      <c r="B9" s="39" t="n">
        <f aca="false">EDATE(B8,1)</f>
        <v>49369</v>
      </c>
      <c r="C9" s="40" t="n">
        <f aca="false">G8</f>
        <v>1439504.83843855</v>
      </c>
      <c r="D9" s="40" t="n">
        <f aca="false">C9*((1+Assumptions!$C$35)^(1/12)-1)</f>
        <v>13659.1633402739</v>
      </c>
      <c r="E9" s="40" t="n">
        <f aca="false">C9+D9</f>
        <v>1453164.00177883</v>
      </c>
      <c r="F9" s="40" t="n">
        <f aca="false">MIN(Assumptions!$C$32,E9)</f>
        <v>25000</v>
      </c>
      <c r="G9" s="40" t="n">
        <f aca="false">E9-F9</f>
        <v>1428164.00177883</v>
      </c>
      <c r="H9" s="40" t="n">
        <f aca="false">H8+F9</f>
        <v>75000</v>
      </c>
    </row>
    <row r="10" customFormat="false" ht="15" hidden="false" customHeight="false" outlineLevel="1" collapsed="false">
      <c r="A10" s="33" t="n">
        <v>4</v>
      </c>
      <c r="B10" s="34" t="n">
        <f aca="false">EDATE(B9,1)</f>
        <v>49400</v>
      </c>
      <c r="C10" s="35" t="n">
        <f aca="false">G9</f>
        <v>1428164.00177883</v>
      </c>
      <c r="D10" s="35" t="n">
        <f aca="false">C10*((1+Assumptions!$C$35)^(1/12)-1)</f>
        <v>13551.5524895048</v>
      </c>
      <c r="E10" s="35" t="n">
        <f aca="false">C10+D10</f>
        <v>1441715.55426833</v>
      </c>
      <c r="F10" s="35" t="n">
        <f aca="false">MIN(Assumptions!$C$32,E10)</f>
        <v>25000</v>
      </c>
      <c r="G10" s="35" t="n">
        <f aca="false">E10-F10</f>
        <v>1416715.55426833</v>
      </c>
      <c r="H10" s="35" t="n">
        <f aca="false">H9+F10</f>
        <v>100000</v>
      </c>
    </row>
    <row r="11" customFormat="false" ht="15" hidden="false" customHeight="false" outlineLevel="1" collapsed="false">
      <c r="A11" s="38" t="n">
        <v>5</v>
      </c>
      <c r="B11" s="39" t="n">
        <f aca="false">EDATE(B10,1)</f>
        <v>49430</v>
      </c>
      <c r="C11" s="40" t="n">
        <f aca="false">G10</f>
        <v>1416715.55426833</v>
      </c>
      <c r="D11" s="40" t="n">
        <f aca="false">C11*((1+Assumptions!$C$35)^(1/12)-1)</f>
        <v>13442.9205416553</v>
      </c>
      <c r="E11" s="40" t="n">
        <f aca="false">C11+D11</f>
        <v>1430158.47480999</v>
      </c>
      <c r="F11" s="40" t="n">
        <f aca="false">MIN(Assumptions!$C$32,E11)</f>
        <v>25000</v>
      </c>
      <c r="G11" s="40" t="n">
        <f aca="false">E11-F11</f>
        <v>1405158.47480999</v>
      </c>
      <c r="H11" s="40" t="n">
        <f aca="false">H10+F11</f>
        <v>125000</v>
      </c>
    </row>
    <row r="12" customFormat="false" ht="15" hidden="false" customHeight="false" outlineLevel="1" collapsed="false">
      <c r="A12" s="33" t="n">
        <v>6</v>
      </c>
      <c r="B12" s="34" t="n">
        <f aca="false">EDATE(B11,1)</f>
        <v>49461</v>
      </c>
      <c r="C12" s="35" t="n">
        <f aca="false">G11</f>
        <v>1405158.47480999</v>
      </c>
      <c r="D12" s="35" t="n">
        <f aca="false">C12*((1+Assumptions!$C$35)^(1/12)-1)</f>
        <v>13333.2578077465</v>
      </c>
      <c r="E12" s="35" t="n">
        <f aca="false">C12+D12</f>
        <v>1418491.73261773</v>
      </c>
      <c r="F12" s="35" t="n">
        <f aca="false">MIN(Assumptions!$C$32,E12)</f>
        <v>25000</v>
      </c>
      <c r="G12" s="35" t="n">
        <f aca="false">E12-F12</f>
        <v>1393491.73261773</v>
      </c>
      <c r="H12" s="35" t="n">
        <f aca="false">H11+F12</f>
        <v>150000</v>
      </c>
    </row>
    <row r="13" customFormat="false" ht="15" hidden="false" customHeight="false" outlineLevel="1" collapsed="false">
      <c r="A13" s="38" t="n">
        <v>7</v>
      </c>
      <c r="B13" s="39" t="n">
        <f aca="false">EDATE(B12,1)</f>
        <v>49491</v>
      </c>
      <c r="C13" s="40" t="n">
        <f aca="false">G12</f>
        <v>1393491.73261773</v>
      </c>
      <c r="D13" s="40" t="n">
        <f aca="false">C13*((1+Assumptions!$C$35)^(1/12)-1)</f>
        <v>13222.554506863</v>
      </c>
      <c r="E13" s="40" t="n">
        <f aca="false">C13+D13</f>
        <v>1406714.2871246</v>
      </c>
      <c r="F13" s="40" t="n">
        <f aca="false">MIN(Assumptions!$C$32,E13)</f>
        <v>25000</v>
      </c>
      <c r="G13" s="40" t="n">
        <f aca="false">E13-F13</f>
        <v>1381714.2871246</v>
      </c>
      <c r="H13" s="40" t="n">
        <f aca="false">H12+F13</f>
        <v>175000</v>
      </c>
    </row>
    <row r="14" customFormat="false" ht="15" hidden="false" customHeight="false" outlineLevel="1" collapsed="false">
      <c r="A14" s="33" t="n">
        <v>8</v>
      </c>
      <c r="B14" s="34" t="n">
        <f aca="false">EDATE(B13,1)</f>
        <v>49522</v>
      </c>
      <c r="C14" s="35" t="n">
        <f aca="false">G13</f>
        <v>1381714.2871246</v>
      </c>
      <c r="D14" s="35" t="n">
        <f aca="false">C14*((1+Assumptions!$C$35)^(1/12)-1)</f>
        <v>13110.8007652803</v>
      </c>
      <c r="E14" s="35" t="n">
        <f aca="false">C14+D14</f>
        <v>1394825.08788988</v>
      </c>
      <c r="F14" s="35" t="n">
        <f aca="false">MIN(Assumptions!$C$32,E14)</f>
        <v>25000</v>
      </c>
      <c r="G14" s="35" t="n">
        <f aca="false">E14-F14</f>
        <v>1369825.08788988</v>
      </c>
      <c r="H14" s="35" t="n">
        <f aca="false">H13+F14</f>
        <v>200000</v>
      </c>
    </row>
    <row r="15" customFormat="false" ht="15" hidden="false" customHeight="false" outlineLevel="1" collapsed="false">
      <c r="A15" s="38" t="n">
        <v>9</v>
      </c>
      <c r="B15" s="39" t="n">
        <f aca="false">EDATE(B14,1)</f>
        <v>49553</v>
      </c>
      <c r="C15" s="40" t="n">
        <f aca="false">G14</f>
        <v>1369825.08788988</v>
      </c>
      <c r="D15" s="40" t="n">
        <f aca="false">C15*((1+Assumptions!$C$35)^(1/12)-1)</f>
        <v>12997.9866155841</v>
      </c>
      <c r="E15" s="40" t="n">
        <f aca="false">C15+D15</f>
        <v>1382823.07450546</v>
      </c>
      <c r="F15" s="40" t="n">
        <f aca="false">MIN(Assumptions!$C$32,E15)</f>
        <v>25000</v>
      </c>
      <c r="G15" s="40" t="n">
        <f aca="false">E15-F15</f>
        <v>1357823.07450546</v>
      </c>
      <c r="H15" s="40" t="n">
        <f aca="false">H14+F15</f>
        <v>225000</v>
      </c>
    </row>
    <row r="16" customFormat="false" ht="15" hidden="false" customHeight="false" outlineLevel="1" collapsed="false">
      <c r="A16" s="33" t="n">
        <v>10</v>
      </c>
      <c r="B16" s="34" t="n">
        <f aca="false">EDATE(B15,1)</f>
        <v>49583</v>
      </c>
      <c r="C16" s="35" t="n">
        <f aca="false">G15</f>
        <v>1357823.07450546</v>
      </c>
      <c r="D16" s="35" t="n">
        <f aca="false">C16*((1+Assumptions!$C$35)^(1/12)-1)</f>
        <v>12884.1019957813</v>
      </c>
      <c r="E16" s="35" t="n">
        <f aca="false">C16+D16</f>
        <v>1370707.17650124</v>
      </c>
      <c r="F16" s="35" t="n">
        <f aca="false">MIN(Assumptions!$C$32,E16)</f>
        <v>25000</v>
      </c>
      <c r="G16" s="35" t="n">
        <f aca="false">E16-F16</f>
        <v>1345707.17650124</v>
      </c>
      <c r="H16" s="35" t="n">
        <f aca="false">H15+F16</f>
        <v>250000</v>
      </c>
    </row>
    <row r="17" customFormat="false" ht="15" hidden="false" customHeight="false" outlineLevel="1" collapsed="false">
      <c r="A17" s="38" t="n">
        <v>11</v>
      </c>
      <c r="B17" s="39" t="n">
        <f aca="false">EDATE(B16,1)</f>
        <v>49614</v>
      </c>
      <c r="C17" s="40" t="n">
        <f aca="false">G16</f>
        <v>1345707.17650124</v>
      </c>
      <c r="D17" s="40" t="n">
        <f aca="false">C17*((1+Assumptions!$C$35)^(1/12)-1)</f>
        <v>12769.1367484027</v>
      </c>
      <c r="E17" s="40" t="n">
        <f aca="false">C17+D17</f>
        <v>1358476.31324965</v>
      </c>
      <c r="F17" s="40" t="n">
        <f aca="false">MIN(Assumptions!$C$32,E17)</f>
        <v>25000</v>
      </c>
      <c r="G17" s="40" t="n">
        <f aca="false">E17-F17</f>
        <v>1333476.31324965</v>
      </c>
      <c r="H17" s="40" t="n">
        <f aca="false">H16+F17</f>
        <v>275000</v>
      </c>
    </row>
    <row r="18" customFormat="false" ht="15" hidden="false" customHeight="false" outlineLevel="0" collapsed="false">
      <c r="A18" s="33" t="n">
        <v>12</v>
      </c>
      <c r="B18" s="34" t="n">
        <f aca="false">EDATE(B17,1)</f>
        <v>49644</v>
      </c>
      <c r="C18" s="35" t="n">
        <f aca="false">G17</f>
        <v>1333476.31324965</v>
      </c>
      <c r="D18" s="35" t="n">
        <f aca="false">C18*((1+Assumptions!$C$35)^(1/12)-1)</f>
        <v>12653.0806195971</v>
      </c>
      <c r="E18" s="35" t="n">
        <f aca="false">C18+D18</f>
        <v>1346129.39386924</v>
      </c>
      <c r="F18" s="35" t="n">
        <f aca="false">MIN(Assumptions!$C$32,E18)</f>
        <v>25000</v>
      </c>
      <c r="G18" s="35" t="n">
        <f aca="false">E18-F18</f>
        <v>1321129.39386924</v>
      </c>
      <c r="H18" s="35" t="n">
        <f aca="false">H17+F18</f>
        <v>300000</v>
      </c>
    </row>
    <row r="19" customFormat="false" ht="15" hidden="false" customHeight="false" outlineLevel="1" collapsed="false">
      <c r="A19" s="38" t="n">
        <v>13</v>
      </c>
      <c r="B19" s="39" t="n">
        <f aca="false">EDATE(B18,1)</f>
        <v>49675</v>
      </c>
      <c r="C19" s="40" t="n">
        <f aca="false">G18</f>
        <v>1321129.39386924</v>
      </c>
      <c r="D19" s="40" t="n">
        <f aca="false">C19*((1+Assumptions!$C$35)^(1/12)-1)</f>
        <v>12535.9232582165</v>
      </c>
      <c r="E19" s="40" t="n">
        <f aca="false">C19+D19</f>
        <v>1333665.31712746</v>
      </c>
      <c r="F19" s="40" t="n">
        <f aca="false">MIN(Assumptions!$C$32,E19)</f>
        <v>25000</v>
      </c>
      <c r="G19" s="40" t="n">
        <f aca="false">E19-F19</f>
        <v>1308665.31712746</v>
      </c>
      <c r="H19" s="40" t="n">
        <f aca="false">H18+F19</f>
        <v>325000</v>
      </c>
    </row>
    <row r="20" customFormat="false" ht="15" hidden="false" customHeight="false" outlineLevel="1" collapsed="false">
      <c r="A20" s="33" t="n">
        <v>14</v>
      </c>
      <c r="B20" s="34" t="n">
        <f aca="false">EDATE(B19,1)</f>
        <v>49706</v>
      </c>
      <c r="C20" s="35" t="n">
        <f aca="false">G19</f>
        <v>1308665.31712746</v>
      </c>
      <c r="D20" s="35" t="n">
        <f aca="false">C20*((1+Assumptions!$C$35)^(1/12)-1)</f>
        <v>12417.6542148929</v>
      </c>
      <c r="E20" s="35" t="n">
        <f aca="false">C20+D20</f>
        <v>1321082.97134235</v>
      </c>
      <c r="F20" s="35" t="n">
        <f aca="false">MIN(Assumptions!$C$32,E20)</f>
        <v>25000</v>
      </c>
      <c r="G20" s="35" t="n">
        <f aca="false">E20-F20</f>
        <v>1296082.97134235</v>
      </c>
      <c r="H20" s="35" t="n">
        <f aca="false">H19+F20</f>
        <v>350000</v>
      </c>
    </row>
    <row r="21" customFormat="false" ht="15" hidden="false" customHeight="false" outlineLevel="1" collapsed="false">
      <c r="A21" s="38" t="n">
        <v>15</v>
      </c>
      <c r="B21" s="39" t="n">
        <f aca="false">EDATE(B20,1)</f>
        <v>49735</v>
      </c>
      <c r="C21" s="40" t="n">
        <f aca="false">G20</f>
        <v>1296082.97134235</v>
      </c>
      <c r="D21" s="40" t="n">
        <f aca="false">C21*((1+Assumptions!$C$35)^(1/12)-1)</f>
        <v>12298.2629411067</v>
      </c>
      <c r="E21" s="40" t="n">
        <f aca="false">C21+D21</f>
        <v>1308381.23428346</v>
      </c>
      <c r="F21" s="40" t="n">
        <f aca="false">MIN(Assumptions!$C$32,E21)</f>
        <v>25000</v>
      </c>
      <c r="G21" s="40" t="n">
        <f aca="false">E21-F21</f>
        <v>1283381.23428346</v>
      </c>
      <c r="H21" s="40" t="n">
        <f aca="false">H20+F21</f>
        <v>375000</v>
      </c>
    </row>
    <row r="22" customFormat="false" ht="15" hidden="false" customHeight="false" outlineLevel="1" collapsed="false">
      <c r="A22" s="33" t="n">
        <v>16</v>
      </c>
      <c r="B22" s="34" t="n">
        <f aca="false">EDATE(B21,1)</f>
        <v>49766</v>
      </c>
      <c r="C22" s="35" t="n">
        <f aca="false">G21</f>
        <v>1283381.23428346</v>
      </c>
      <c r="D22" s="35" t="n">
        <f aca="false">C22*((1+Assumptions!$C$35)^(1/12)-1)</f>
        <v>12177.7387882454</v>
      </c>
      <c r="E22" s="35" t="n">
        <f aca="false">C22+D22</f>
        <v>1295558.9730717</v>
      </c>
      <c r="F22" s="35" t="n">
        <f aca="false">MIN(Assumptions!$C$32,E22)</f>
        <v>25000</v>
      </c>
      <c r="G22" s="35" t="n">
        <f aca="false">E22-F22</f>
        <v>1270558.9730717</v>
      </c>
      <c r="H22" s="35" t="n">
        <f aca="false">H21+F22</f>
        <v>400000</v>
      </c>
    </row>
    <row r="23" customFormat="false" ht="15" hidden="false" customHeight="false" outlineLevel="1" collapsed="false">
      <c r="A23" s="38" t="n">
        <v>17</v>
      </c>
      <c r="B23" s="39" t="n">
        <f aca="false">EDATE(B22,1)</f>
        <v>49796</v>
      </c>
      <c r="C23" s="40" t="n">
        <f aca="false">G22</f>
        <v>1270558.9730717</v>
      </c>
      <c r="D23" s="40" t="n">
        <f aca="false">C23*((1+Assumptions!$C$35)^(1/12)-1)</f>
        <v>12056.0710066539</v>
      </c>
      <c r="E23" s="40" t="n">
        <f aca="false">C23+D23</f>
        <v>1282615.04407836</v>
      </c>
      <c r="F23" s="40" t="n">
        <f aca="false">MIN(Assumptions!$C$32,E23)</f>
        <v>25000</v>
      </c>
      <c r="G23" s="40" t="n">
        <f aca="false">E23-F23</f>
        <v>1257615.04407836</v>
      </c>
      <c r="H23" s="40" t="n">
        <f aca="false">H22+F23</f>
        <v>425000</v>
      </c>
    </row>
    <row r="24" customFormat="false" ht="15" hidden="false" customHeight="false" outlineLevel="1" collapsed="false">
      <c r="A24" s="33" t="n">
        <v>18</v>
      </c>
      <c r="B24" s="34" t="n">
        <f aca="false">EDATE(B23,1)</f>
        <v>49827</v>
      </c>
      <c r="C24" s="35" t="n">
        <f aca="false">G23</f>
        <v>1257615.04407836</v>
      </c>
      <c r="D24" s="35" t="n">
        <f aca="false">C24*((1+Assumptions!$C$35)^(1/12)-1)</f>
        <v>11933.2487446761</v>
      </c>
      <c r="E24" s="35" t="n">
        <f aca="false">C24+D24</f>
        <v>1269548.29282303</v>
      </c>
      <c r="F24" s="35" t="n">
        <f aca="false">MIN(Assumptions!$C$32,E24)</f>
        <v>25000</v>
      </c>
      <c r="G24" s="35" t="n">
        <f aca="false">E24-F24</f>
        <v>1244548.29282303</v>
      </c>
      <c r="H24" s="35" t="n">
        <f aca="false">H23+F24</f>
        <v>450000</v>
      </c>
    </row>
    <row r="25" customFormat="false" ht="15" hidden="false" customHeight="false" outlineLevel="1" collapsed="false">
      <c r="A25" s="38" t="n">
        <v>19</v>
      </c>
      <c r="B25" s="39" t="n">
        <f aca="false">EDATE(B24,1)</f>
        <v>49857</v>
      </c>
      <c r="C25" s="40" t="n">
        <f aca="false">G24</f>
        <v>1244548.29282303</v>
      </c>
      <c r="D25" s="40" t="n">
        <f aca="false">C25*((1+Assumptions!$C$35)^(1/12)-1)</f>
        <v>11809.2610476866</v>
      </c>
      <c r="E25" s="40" t="n">
        <f aca="false">C25+D25</f>
        <v>1256357.55387072</v>
      </c>
      <c r="F25" s="40" t="n">
        <f aca="false">MIN(Assumptions!$C$32,E25)</f>
        <v>25000</v>
      </c>
      <c r="G25" s="40" t="n">
        <f aca="false">E25-F25</f>
        <v>1231357.55387072</v>
      </c>
      <c r="H25" s="40" t="n">
        <f aca="false">H24+F25</f>
        <v>475000</v>
      </c>
    </row>
    <row r="26" customFormat="false" ht="15" hidden="false" customHeight="false" outlineLevel="1" collapsed="false">
      <c r="A26" s="33" t="n">
        <v>20</v>
      </c>
      <c r="B26" s="34" t="n">
        <f aca="false">EDATE(B25,1)</f>
        <v>49888</v>
      </c>
      <c r="C26" s="35" t="n">
        <f aca="false">G25</f>
        <v>1231357.55387072</v>
      </c>
      <c r="D26" s="35" t="n">
        <f aca="false">C26*((1+Assumptions!$C$35)^(1/12)-1)</f>
        <v>11684.096857114</v>
      </c>
      <c r="E26" s="35" t="n">
        <f aca="false">C26+D26</f>
        <v>1243041.65072783</v>
      </c>
      <c r="F26" s="35" t="n">
        <f aca="false">MIN(Assumptions!$C$32,E26)</f>
        <v>25000</v>
      </c>
      <c r="G26" s="35" t="n">
        <f aca="false">E26-F26</f>
        <v>1218041.65072783</v>
      </c>
      <c r="H26" s="35" t="n">
        <f aca="false">H25+F26</f>
        <v>500000</v>
      </c>
    </row>
    <row r="27" customFormat="false" ht="15" hidden="false" customHeight="false" outlineLevel="1" collapsed="false">
      <c r="A27" s="38" t="n">
        <v>21</v>
      </c>
      <c r="B27" s="39" t="n">
        <f aca="false">EDATE(B26,1)</f>
        <v>49919</v>
      </c>
      <c r="C27" s="40" t="n">
        <f aca="false">G26</f>
        <v>1218041.65072783</v>
      </c>
      <c r="D27" s="40" t="n">
        <f aca="false">C27*((1+Assumptions!$C$35)^(1/12)-1)</f>
        <v>11557.7450094541</v>
      </c>
      <c r="E27" s="40" t="n">
        <f aca="false">C27+D27</f>
        <v>1229599.39573729</v>
      </c>
      <c r="F27" s="40" t="n">
        <f aca="false">MIN(Assumptions!$C$32,E27)</f>
        <v>25000</v>
      </c>
      <c r="G27" s="40" t="n">
        <f aca="false">E27-F27</f>
        <v>1204599.39573729</v>
      </c>
      <c r="H27" s="40" t="n">
        <f aca="false">H26+F27</f>
        <v>525000</v>
      </c>
    </row>
    <row r="28" customFormat="false" ht="15" hidden="false" customHeight="false" outlineLevel="1" collapsed="false">
      <c r="A28" s="33" t="n">
        <v>22</v>
      </c>
      <c r="B28" s="34" t="n">
        <f aca="false">EDATE(B27,1)</f>
        <v>49949</v>
      </c>
      <c r="C28" s="35" t="n">
        <f aca="false">G27</f>
        <v>1204599.39573729</v>
      </c>
      <c r="D28" s="35" t="n">
        <f aca="false">C28*((1+Assumptions!$C$35)^(1/12)-1)</f>
        <v>11430.194235275</v>
      </c>
      <c r="E28" s="35" t="n">
        <f aca="false">C28+D28</f>
        <v>1216029.58997256</v>
      </c>
      <c r="F28" s="35" t="n">
        <f aca="false">MIN(Assumptions!$C$32,E28)</f>
        <v>25000</v>
      </c>
      <c r="G28" s="35" t="n">
        <f aca="false">E28-F28</f>
        <v>1191029.58997256</v>
      </c>
      <c r="H28" s="35" t="n">
        <f aca="false">H27+F28</f>
        <v>550000</v>
      </c>
    </row>
    <row r="29" customFormat="false" ht="15" hidden="false" customHeight="false" outlineLevel="1" collapsed="false">
      <c r="A29" s="38" t="n">
        <v>23</v>
      </c>
      <c r="B29" s="39" t="n">
        <f aca="false">EDATE(B28,1)</f>
        <v>49980</v>
      </c>
      <c r="C29" s="40" t="n">
        <f aca="false">G28</f>
        <v>1191029.58997256</v>
      </c>
      <c r="D29" s="40" t="n">
        <f aca="false">C29*((1+Assumptions!$C$35)^(1/12)-1)</f>
        <v>11301.433158211</v>
      </c>
      <c r="E29" s="40" t="n">
        <f aca="false">C29+D29</f>
        <v>1202331.02313077</v>
      </c>
      <c r="F29" s="40" t="n">
        <f aca="false">MIN(Assumptions!$C$32,E29)</f>
        <v>25000</v>
      </c>
      <c r="G29" s="40" t="n">
        <f aca="false">E29-F29</f>
        <v>1177331.02313077</v>
      </c>
      <c r="H29" s="40" t="n">
        <f aca="false">H28+F29</f>
        <v>575000</v>
      </c>
    </row>
    <row r="30" customFormat="false" ht="15" hidden="false" customHeight="false" outlineLevel="0" collapsed="false">
      <c r="A30" s="33" t="n">
        <v>24</v>
      </c>
      <c r="B30" s="34" t="n">
        <f aca="false">EDATE(B29,1)</f>
        <v>50010</v>
      </c>
      <c r="C30" s="35" t="n">
        <f aca="false">G29</f>
        <v>1177331.02313077</v>
      </c>
      <c r="D30" s="35" t="n">
        <f aca="false">C30*((1+Assumptions!$C$35)^(1/12)-1)</f>
        <v>11171.4502939487</v>
      </c>
      <c r="E30" s="35" t="n">
        <f aca="false">C30+D30</f>
        <v>1188502.47342472</v>
      </c>
      <c r="F30" s="35" t="n">
        <f aca="false">MIN(Assumptions!$C$32,E30)</f>
        <v>25000</v>
      </c>
      <c r="G30" s="35" t="n">
        <f aca="false">E30-F30</f>
        <v>1163502.47342472</v>
      </c>
      <c r="H30" s="35" t="n">
        <f aca="false">H29+F30</f>
        <v>600000</v>
      </c>
    </row>
    <row r="31" customFormat="false" ht="15" hidden="false" customHeight="false" outlineLevel="1" collapsed="false">
      <c r="A31" s="38" t="n">
        <v>25</v>
      </c>
      <c r="B31" s="39" t="n">
        <f aca="false">EDATE(B30,1)</f>
        <v>50041</v>
      </c>
      <c r="C31" s="40" t="n">
        <f aca="false">G30</f>
        <v>1163502.47342472</v>
      </c>
      <c r="D31" s="40" t="n">
        <f aca="false">C31*((1+Assumptions!$C$35)^(1/12)-1)</f>
        <v>11040.2340492024</v>
      </c>
      <c r="E31" s="40" t="n">
        <f aca="false">C31+D31</f>
        <v>1174542.70747393</v>
      </c>
      <c r="F31" s="40" t="n">
        <f aca="false">MIN(Assumptions!$C$32,E31)</f>
        <v>25000</v>
      </c>
      <c r="G31" s="40" t="n">
        <f aca="false">E31-F31</f>
        <v>1149542.70747393</v>
      </c>
      <c r="H31" s="40" t="n">
        <f aca="false">H30+F31</f>
        <v>625000</v>
      </c>
    </row>
    <row r="32" customFormat="false" ht="15" hidden="false" customHeight="false" outlineLevel="1" collapsed="false">
      <c r="A32" s="33" t="n">
        <v>26</v>
      </c>
      <c r="B32" s="34" t="n">
        <f aca="false">EDATE(B31,1)</f>
        <v>50072</v>
      </c>
      <c r="C32" s="35" t="n">
        <f aca="false">G31</f>
        <v>1149542.70747393</v>
      </c>
      <c r="D32" s="35" t="n">
        <f aca="false">C32*((1+Assumptions!$C$35)^(1/12)-1)</f>
        <v>10907.7727206801</v>
      </c>
      <c r="E32" s="35" t="n">
        <f aca="false">C32+D32</f>
        <v>1160450.48019461</v>
      </c>
      <c r="F32" s="35" t="n">
        <f aca="false">MIN(Assumptions!$C$32,E32)</f>
        <v>25000</v>
      </c>
      <c r="G32" s="35" t="n">
        <f aca="false">E32-F32</f>
        <v>1135450.48019461</v>
      </c>
      <c r="H32" s="35" t="n">
        <f aca="false">H31+F32</f>
        <v>650000</v>
      </c>
    </row>
    <row r="33" customFormat="false" ht="15" hidden="false" customHeight="false" outlineLevel="1" collapsed="false">
      <c r="A33" s="38" t="n">
        <v>27</v>
      </c>
      <c r="B33" s="39" t="n">
        <f aca="false">EDATE(B32,1)</f>
        <v>50100</v>
      </c>
      <c r="C33" s="40" t="n">
        <f aca="false">G32</f>
        <v>1135450.48019461</v>
      </c>
      <c r="D33" s="40" t="n">
        <f aca="false">C33*((1+Assumptions!$C$35)^(1/12)-1)</f>
        <v>10774.0544940395</v>
      </c>
      <c r="E33" s="40" t="n">
        <f aca="false">C33+D33</f>
        <v>1146224.53468865</v>
      </c>
      <c r="F33" s="40" t="n">
        <f aca="false">MIN(Assumptions!$C$32,E33)</f>
        <v>25000</v>
      </c>
      <c r="G33" s="40" t="n">
        <f aca="false">E33-F33</f>
        <v>1121224.53468865</v>
      </c>
      <c r="H33" s="40" t="n">
        <f aca="false">H32+F33</f>
        <v>675000</v>
      </c>
    </row>
    <row r="34" customFormat="false" ht="15" hidden="false" customHeight="false" outlineLevel="1" collapsed="false">
      <c r="A34" s="33" t="n">
        <v>28</v>
      </c>
      <c r="B34" s="34" t="n">
        <f aca="false">EDATE(B33,1)</f>
        <v>50131</v>
      </c>
      <c r="C34" s="35" t="n">
        <f aca="false">G33</f>
        <v>1121224.53468865</v>
      </c>
      <c r="D34" s="35" t="n">
        <f aca="false">C34*((1+Assumptions!$C$35)^(1/12)-1)</f>
        <v>10639.0674428348</v>
      </c>
      <c r="E34" s="35" t="n">
        <f aca="false">C34+D34</f>
        <v>1131863.60213148</v>
      </c>
      <c r="F34" s="35" t="n">
        <f aca="false">MIN(Assumptions!$C$32,E34)</f>
        <v>25000</v>
      </c>
      <c r="G34" s="35" t="n">
        <f aca="false">E34-F34</f>
        <v>1106863.60213148</v>
      </c>
      <c r="H34" s="35" t="n">
        <f aca="false">H33+F34</f>
        <v>700000</v>
      </c>
    </row>
    <row r="35" customFormat="false" ht="15" hidden="false" customHeight="false" outlineLevel="1" collapsed="false">
      <c r="A35" s="38" t="n">
        <v>29</v>
      </c>
      <c r="B35" s="39" t="n">
        <f aca="false">EDATE(B34,1)</f>
        <v>50161</v>
      </c>
      <c r="C35" s="40" t="n">
        <f aca="false">G34</f>
        <v>1106863.60213148</v>
      </c>
      <c r="D35" s="40" t="n">
        <f aca="false">C35*((1+Assumptions!$C$35)^(1/12)-1)</f>
        <v>10502.7995274523</v>
      </c>
      <c r="E35" s="40" t="n">
        <f aca="false">C35+D35</f>
        <v>1117366.40165893</v>
      </c>
      <c r="F35" s="40" t="n">
        <f aca="false">MIN(Assumptions!$C$32,E35)</f>
        <v>25000</v>
      </c>
      <c r="G35" s="40" t="n">
        <f aca="false">E35-F35</f>
        <v>1092366.40165893</v>
      </c>
      <c r="H35" s="40" t="n">
        <f aca="false">H34+F35</f>
        <v>725000</v>
      </c>
    </row>
    <row r="36" customFormat="false" ht="15" hidden="false" customHeight="false" outlineLevel="1" collapsed="false">
      <c r="A36" s="33" t="n">
        <v>30</v>
      </c>
      <c r="B36" s="34" t="n">
        <f aca="false">EDATE(B35,1)</f>
        <v>50192</v>
      </c>
      <c r="C36" s="35" t="n">
        <f aca="false">G35</f>
        <v>1092366.40165893</v>
      </c>
      <c r="D36" s="35" t="n">
        <f aca="false">C36*((1+Assumptions!$C$35)^(1/12)-1)</f>
        <v>10365.2385940372</v>
      </c>
      <c r="E36" s="35" t="n">
        <f aca="false">C36+D36</f>
        <v>1102731.64025297</v>
      </c>
      <c r="F36" s="35" t="n">
        <f aca="false">MIN(Assumptions!$C$32,E36)</f>
        <v>25000</v>
      </c>
      <c r="G36" s="35" t="n">
        <f aca="false">E36-F36</f>
        <v>1077731.64025297</v>
      </c>
      <c r="H36" s="35" t="n">
        <f aca="false">H35+F36</f>
        <v>750000</v>
      </c>
    </row>
    <row r="37" customFormat="false" ht="15" hidden="false" customHeight="false" outlineLevel="1" collapsed="false">
      <c r="A37" s="38" t="n">
        <v>31</v>
      </c>
      <c r="B37" s="39" t="n">
        <f aca="false">EDATE(B36,1)</f>
        <v>50222</v>
      </c>
      <c r="C37" s="40" t="n">
        <f aca="false">G36</f>
        <v>1077731.64025297</v>
      </c>
      <c r="D37" s="40" t="n">
        <f aca="false">C37*((1+Assumptions!$C$35)^(1/12)-1)</f>
        <v>10226.372373409</v>
      </c>
      <c r="E37" s="40" t="n">
        <f aca="false">C37+D37</f>
        <v>1087958.01262638</v>
      </c>
      <c r="F37" s="40" t="n">
        <f aca="false">MIN(Assumptions!$C$32,E37)</f>
        <v>25000</v>
      </c>
      <c r="G37" s="40" t="n">
        <f aca="false">E37-F37</f>
        <v>1062958.01262638</v>
      </c>
      <c r="H37" s="40" t="n">
        <f aca="false">H36+F37</f>
        <v>775000</v>
      </c>
    </row>
    <row r="38" customFormat="false" ht="15" hidden="false" customHeight="false" outlineLevel="1" collapsed="false">
      <c r="A38" s="33" t="n">
        <v>32</v>
      </c>
      <c r="B38" s="34" t="n">
        <f aca="false">EDATE(B37,1)</f>
        <v>50253</v>
      </c>
      <c r="C38" s="35" t="n">
        <f aca="false">G37</f>
        <v>1062958.01262638</v>
      </c>
      <c r="D38" s="35" t="n">
        <f aca="false">C38*((1+Assumptions!$C$35)^(1/12)-1)</f>
        <v>10086.1884799676</v>
      </c>
      <c r="E38" s="35" t="n">
        <f aca="false">C38+D38</f>
        <v>1073044.20110635</v>
      </c>
      <c r="F38" s="35" t="n">
        <f aca="false">MIN(Assumptions!$C$32,E38)</f>
        <v>25000</v>
      </c>
      <c r="G38" s="35" t="n">
        <f aca="false">E38-F38</f>
        <v>1048044.20110635</v>
      </c>
      <c r="H38" s="35" t="n">
        <f aca="false">H37+F38</f>
        <v>800000</v>
      </c>
    </row>
    <row r="39" customFormat="false" ht="15" hidden="false" customHeight="false" outlineLevel="1" collapsed="false">
      <c r="A39" s="38" t="n">
        <v>33</v>
      </c>
      <c r="B39" s="39" t="n">
        <f aca="false">EDATE(B38,1)</f>
        <v>50284</v>
      </c>
      <c r="C39" s="40" t="n">
        <f aca="false">G38</f>
        <v>1048044.20110635</v>
      </c>
      <c r="D39" s="40" t="n">
        <f aca="false">C39*((1+Assumptions!$C$35)^(1/12)-1)</f>
        <v>9944.67441058863</v>
      </c>
      <c r="E39" s="40" t="n">
        <f aca="false">C39+D39</f>
        <v>1057988.87551693</v>
      </c>
      <c r="F39" s="40" t="n">
        <f aca="false">MIN(Assumptions!$C$32,E39)</f>
        <v>25000</v>
      </c>
      <c r="G39" s="40" t="n">
        <f aca="false">E39-F39</f>
        <v>1032988.87551693</v>
      </c>
      <c r="H39" s="40" t="n">
        <f aca="false">H38+F39</f>
        <v>825000</v>
      </c>
    </row>
    <row r="40" customFormat="false" ht="15" hidden="false" customHeight="false" outlineLevel="1" collapsed="false">
      <c r="A40" s="33" t="n">
        <v>34</v>
      </c>
      <c r="B40" s="34" t="n">
        <f aca="false">EDATE(B39,1)</f>
        <v>50314</v>
      </c>
      <c r="C40" s="35" t="n">
        <f aca="false">G39</f>
        <v>1032988.87551693</v>
      </c>
      <c r="D40" s="35" t="n">
        <f aca="false">C40*((1+Assumptions!$C$35)^(1/12)-1)</f>
        <v>9801.81754350798</v>
      </c>
      <c r="E40" s="35" t="n">
        <f aca="false">C40+D40</f>
        <v>1042790.69306044</v>
      </c>
      <c r="F40" s="35" t="n">
        <f aca="false">MIN(Assumptions!$C$32,E40)</f>
        <v>25000</v>
      </c>
      <c r="G40" s="35" t="n">
        <f aca="false">E40-F40</f>
        <v>1017790.69306044</v>
      </c>
      <c r="H40" s="35" t="n">
        <f aca="false">H39+F40</f>
        <v>850000</v>
      </c>
    </row>
    <row r="41" customFormat="false" ht="15" hidden="false" customHeight="false" outlineLevel="1" collapsed="false">
      <c r="A41" s="38" t="n">
        <v>35</v>
      </c>
      <c r="B41" s="39" t="n">
        <f aca="false">EDATE(B40,1)</f>
        <v>50345</v>
      </c>
      <c r="C41" s="40" t="n">
        <f aca="false">G40</f>
        <v>1017790.69306044</v>
      </c>
      <c r="D41" s="40" t="n">
        <f aca="false">C41*((1+Assumptions!$C$35)^(1/12)-1)</f>
        <v>9657.60513719631</v>
      </c>
      <c r="E41" s="40" t="n">
        <f aca="false">C41+D41</f>
        <v>1027448.29819764</v>
      </c>
      <c r="F41" s="40" t="n">
        <f aca="false">MIN(Assumptions!$C$32,E41)</f>
        <v>25000</v>
      </c>
      <c r="G41" s="40" t="n">
        <f aca="false">E41-F41</f>
        <v>1002448.29819764</v>
      </c>
      <c r="H41" s="40" t="n">
        <f aca="false">H40+F41</f>
        <v>875000</v>
      </c>
    </row>
    <row r="42" customFormat="false" ht="15" hidden="false" customHeight="false" outlineLevel="0" collapsed="false">
      <c r="A42" s="33" t="n">
        <v>36</v>
      </c>
      <c r="B42" s="34" t="n">
        <f aca="false">EDATE(B41,1)</f>
        <v>50375</v>
      </c>
      <c r="C42" s="35" t="n">
        <f aca="false">G41</f>
        <v>1002448.29819764</v>
      </c>
      <c r="D42" s="35" t="n">
        <f aca="false">C42*((1+Assumptions!$C$35)^(1/12)-1)</f>
        <v>9512.02432922256</v>
      </c>
      <c r="E42" s="35" t="n">
        <f aca="false">C42+D42</f>
        <v>1011960.32252686</v>
      </c>
      <c r="F42" s="35" t="n">
        <f aca="false">MIN(Assumptions!$C$32,E42)</f>
        <v>25000</v>
      </c>
      <c r="G42" s="35" t="n">
        <f aca="false">E42-F42</f>
        <v>986960.322526862</v>
      </c>
      <c r="H42" s="35" t="n">
        <f aca="false">H41+F42</f>
        <v>900000</v>
      </c>
    </row>
    <row r="43" customFormat="false" ht="15" hidden="false" customHeight="false" outlineLevel="1" collapsed="false">
      <c r="A43" s="38" t="n">
        <v>37</v>
      </c>
      <c r="B43" s="39" t="n">
        <f aca="false">EDATE(B42,1)</f>
        <v>50406</v>
      </c>
      <c r="C43" s="40" t="n">
        <f aca="false">G42</f>
        <v>986960.322526862</v>
      </c>
      <c r="D43" s="40" t="n">
        <f aca="false">C43*((1+Assumptions!$C$35)^(1/12)-1)</f>
        <v>9365.06213510669</v>
      </c>
      <c r="E43" s="40" t="n">
        <f aca="false">C43+D43</f>
        <v>996325.384661968</v>
      </c>
      <c r="F43" s="40" t="n">
        <f aca="false">MIN(Assumptions!$C$32,E43)</f>
        <v>25000</v>
      </c>
      <c r="G43" s="40" t="n">
        <f aca="false">E43-F43</f>
        <v>971325.384661968</v>
      </c>
      <c r="H43" s="40" t="n">
        <f aca="false">H42+F43</f>
        <v>925000</v>
      </c>
    </row>
    <row r="44" customFormat="false" ht="15" hidden="false" customHeight="false" outlineLevel="1" collapsed="false">
      <c r="A44" s="33" t="n">
        <v>38</v>
      </c>
      <c r="B44" s="34" t="n">
        <f aca="false">EDATE(B43,1)</f>
        <v>50437</v>
      </c>
      <c r="C44" s="35" t="n">
        <f aca="false">G43</f>
        <v>971325.384661968</v>
      </c>
      <c r="D44" s="35" t="n">
        <f aca="false">C44*((1+Assumptions!$C$35)^(1/12)-1)</f>
        <v>9216.70544716165</v>
      </c>
      <c r="E44" s="35" t="n">
        <f aca="false">C44+D44</f>
        <v>980542.09010913</v>
      </c>
      <c r="F44" s="35" t="n">
        <f aca="false">MIN(Assumptions!$C$32,E44)</f>
        <v>25000</v>
      </c>
      <c r="G44" s="35" t="n">
        <f aca="false">E44-F44</f>
        <v>955542.09010913</v>
      </c>
      <c r="H44" s="35" t="n">
        <f aca="false">H43+F44</f>
        <v>950000</v>
      </c>
    </row>
    <row r="45" customFormat="false" ht="15" hidden="false" customHeight="false" outlineLevel="1" collapsed="false">
      <c r="A45" s="38" t="n">
        <v>39</v>
      </c>
      <c r="B45" s="39" t="n">
        <f aca="false">EDATE(B44,1)</f>
        <v>50465</v>
      </c>
      <c r="C45" s="40" t="n">
        <f aca="false">G44</f>
        <v>955542.09010913</v>
      </c>
      <c r="D45" s="40" t="n">
        <f aca="false">C45*((1+Assumptions!$C$35)^(1/12)-1)</f>
        <v>9066.94103332423</v>
      </c>
      <c r="E45" s="40" t="n">
        <f aca="false">C45+D45</f>
        <v>964609.031142454</v>
      </c>
      <c r="F45" s="40" t="n">
        <f aca="false">MIN(Assumptions!$C$32,E45)</f>
        <v>25000</v>
      </c>
      <c r="G45" s="40" t="n">
        <f aca="false">E45-F45</f>
        <v>939609.031142454</v>
      </c>
      <c r="H45" s="40" t="n">
        <f aca="false">H44+F45</f>
        <v>975000</v>
      </c>
    </row>
    <row r="46" customFormat="false" ht="15" hidden="false" customHeight="false" outlineLevel="1" collapsed="false">
      <c r="A46" s="33" t="n">
        <v>40</v>
      </c>
      <c r="B46" s="34" t="n">
        <f aca="false">EDATE(B45,1)</f>
        <v>50496</v>
      </c>
      <c r="C46" s="35" t="n">
        <f aca="false">G45</f>
        <v>939609.031142454</v>
      </c>
      <c r="D46" s="35" t="n">
        <f aca="false">C46*((1+Assumptions!$C$35)^(1/12)-1)</f>
        <v>8915.75553597494</v>
      </c>
      <c r="E46" s="35" t="n">
        <f aca="false">C46+D46</f>
        <v>948524.786678429</v>
      </c>
      <c r="F46" s="35" t="n">
        <f aca="false">MIN(Assumptions!$C$32,E46)</f>
        <v>25000</v>
      </c>
      <c r="G46" s="35" t="n">
        <f aca="false">E46-F46</f>
        <v>923524.786678429</v>
      </c>
      <c r="H46" s="35" t="n">
        <f aca="false">H45+F46</f>
        <v>1000000</v>
      </c>
    </row>
    <row r="47" customFormat="false" ht="15" hidden="false" customHeight="false" outlineLevel="1" collapsed="false">
      <c r="A47" s="38" t="n">
        <v>41</v>
      </c>
      <c r="B47" s="39" t="n">
        <f aca="false">EDATE(B46,1)</f>
        <v>50526</v>
      </c>
      <c r="C47" s="40" t="n">
        <f aca="false">G46</f>
        <v>923524.786678429</v>
      </c>
      <c r="D47" s="40" t="n">
        <f aca="false">C47*((1+Assumptions!$C$35)^(1/12)-1)</f>
        <v>8763.13547074659</v>
      </c>
      <c r="E47" s="40" t="n">
        <f aca="false">C47+D47</f>
        <v>932287.922149176</v>
      </c>
      <c r="F47" s="40" t="n">
        <f aca="false">MIN(Assumptions!$C$32,E47)</f>
        <v>25000</v>
      </c>
      <c r="G47" s="40" t="n">
        <f aca="false">E47-F47</f>
        <v>907287.922149176</v>
      </c>
      <c r="H47" s="40" t="n">
        <f aca="false">H46+F47</f>
        <v>1025000</v>
      </c>
    </row>
    <row r="48" customFormat="false" ht="15" hidden="false" customHeight="false" outlineLevel="1" collapsed="false">
      <c r="A48" s="33" t="n">
        <v>42</v>
      </c>
      <c r="B48" s="34" t="n">
        <f aca="false">EDATE(B47,1)</f>
        <v>50557</v>
      </c>
      <c r="C48" s="35" t="n">
        <f aca="false">G47</f>
        <v>907287.922149176</v>
      </c>
      <c r="D48" s="35" t="n">
        <f aca="false">C48*((1+Assumptions!$C$35)^(1/12)-1)</f>
        <v>8609.06722532163</v>
      </c>
      <c r="E48" s="35" t="n">
        <f aca="false">C48+D48</f>
        <v>915896.989374497</v>
      </c>
      <c r="F48" s="35" t="n">
        <f aca="false">MIN(Assumptions!$C$32,E48)</f>
        <v>25000</v>
      </c>
      <c r="G48" s="35" t="n">
        <f aca="false">E48-F48</f>
        <v>890896.989374497</v>
      </c>
      <c r="H48" s="35" t="n">
        <f aca="false">H47+F48</f>
        <v>1050000</v>
      </c>
    </row>
    <row r="49" customFormat="false" ht="15" hidden="false" customHeight="false" outlineLevel="1" collapsed="false">
      <c r="A49" s="38" t="n">
        <v>43</v>
      </c>
      <c r="B49" s="39" t="n">
        <f aca="false">EDATE(B48,1)</f>
        <v>50587</v>
      </c>
      <c r="C49" s="40" t="n">
        <f aca="false">G48</f>
        <v>890896.989374497</v>
      </c>
      <c r="D49" s="40" t="n">
        <f aca="false">C49*((1+Assumptions!$C$35)^(1/12)-1)</f>
        <v>8453.53705821804</v>
      </c>
      <c r="E49" s="40" t="n">
        <f aca="false">C49+D49</f>
        <v>899350.526432716</v>
      </c>
      <c r="F49" s="40" t="n">
        <f aca="false">MIN(Assumptions!$C$32,E49)</f>
        <v>25000</v>
      </c>
      <c r="G49" s="40" t="n">
        <f aca="false">E49-F49</f>
        <v>874350.526432716</v>
      </c>
      <c r="H49" s="40" t="n">
        <f aca="false">H48+F49</f>
        <v>1075000</v>
      </c>
    </row>
    <row r="50" customFormat="false" ht="15" hidden="false" customHeight="false" outlineLevel="1" collapsed="false">
      <c r="A50" s="33" t="n">
        <v>44</v>
      </c>
      <c r="B50" s="34" t="n">
        <f aca="false">EDATE(B49,1)</f>
        <v>50618</v>
      </c>
      <c r="C50" s="35" t="n">
        <f aca="false">G49</f>
        <v>874350.526432716</v>
      </c>
      <c r="D50" s="35" t="n">
        <f aca="false">C50*((1+Assumptions!$C$35)^(1/12)-1)</f>
        <v>8296.53109756372</v>
      </c>
      <c r="E50" s="35" t="n">
        <f aca="false">C50+D50</f>
        <v>882647.057530279</v>
      </c>
      <c r="F50" s="35" t="n">
        <f aca="false">MIN(Assumptions!$C$32,E50)</f>
        <v>25000</v>
      </c>
      <c r="G50" s="35" t="n">
        <f aca="false">E50-F50</f>
        <v>857647.057530279</v>
      </c>
      <c r="H50" s="35" t="n">
        <f aca="false">H49+F50</f>
        <v>1100000</v>
      </c>
    </row>
    <row r="51" customFormat="false" ht="15" hidden="false" customHeight="false" outlineLevel="1" collapsed="false">
      <c r="A51" s="38" t="n">
        <v>45</v>
      </c>
      <c r="B51" s="39" t="n">
        <f aca="false">EDATE(B50,1)</f>
        <v>50649</v>
      </c>
      <c r="C51" s="40" t="n">
        <f aca="false">G50</f>
        <v>857647.057530279</v>
      </c>
      <c r="D51" s="40" t="n">
        <f aca="false">C51*((1+Assumptions!$C$35)^(1/12)-1)</f>
        <v>8138.03533985925</v>
      </c>
      <c r="E51" s="40" t="n">
        <f aca="false">C51+D51</f>
        <v>865785.092870138</v>
      </c>
      <c r="F51" s="40" t="n">
        <f aca="false">MIN(Assumptions!$C$32,E51)</f>
        <v>25000</v>
      </c>
      <c r="G51" s="40" t="n">
        <f aca="false">E51-F51</f>
        <v>840785.092870138</v>
      </c>
      <c r="H51" s="40" t="n">
        <f aca="false">H50+F51</f>
        <v>1125000</v>
      </c>
    </row>
    <row r="52" customFormat="false" ht="15" hidden="false" customHeight="false" outlineLevel="1" collapsed="false">
      <c r="A52" s="33" t="n">
        <v>46</v>
      </c>
      <c r="B52" s="34" t="n">
        <f aca="false">EDATE(B51,1)</f>
        <v>50679</v>
      </c>
      <c r="C52" s="35" t="n">
        <f aca="false">G51</f>
        <v>840785.092870138</v>
      </c>
      <c r="D52" s="35" t="n">
        <f aca="false">C52*((1+Assumptions!$C$35)^(1/12)-1)</f>
        <v>7978.03564872892</v>
      </c>
      <c r="E52" s="35" t="n">
        <f aca="false">C52+D52</f>
        <v>848763.128518867</v>
      </c>
      <c r="F52" s="35" t="n">
        <f aca="false">MIN(Assumptions!$C$32,E52)</f>
        <v>25000</v>
      </c>
      <c r="G52" s="35" t="n">
        <f aca="false">E52-F52</f>
        <v>823763.128518867</v>
      </c>
      <c r="H52" s="35" t="n">
        <f aca="false">H51+F52</f>
        <v>1150000</v>
      </c>
    </row>
    <row r="53" customFormat="false" ht="15" hidden="false" customHeight="false" outlineLevel="1" collapsed="false">
      <c r="A53" s="38" t="n">
        <v>47</v>
      </c>
      <c r="B53" s="39" t="n">
        <f aca="false">EDATE(B52,1)</f>
        <v>50710</v>
      </c>
      <c r="C53" s="40" t="n">
        <f aca="false">G52</f>
        <v>823763.128518867</v>
      </c>
      <c r="D53" s="40" t="n">
        <f aca="false">C53*((1+Assumptions!$C$35)^(1/12)-1)</f>
        <v>7816.51775365985</v>
      </c>
      <c r="E53" s="40" t="n">
        <f aca="false">C53+D53</f>
        <v>831579.646272527</v>
      </c>
      <c r="F53" s="40" t="n">
        <f aca="false">MIN(Assumptions!$C$32,E53)</f>
        <v>25000</v>
      </c>
      <c r="G53" s="40" t="n">
        <f aca="false">E53-F53</f>
        <v>806579.646272527</v>
      </c>
      <c r="H53" s="40" t="n">
        <f aca="false">H52+F53</f>
        <v>1175000</v>
      </c>
    </row>
    <row r="54" customFormat="false" ht="15" hidden="false" customHeight="false" outlineLevel="0" collapsed="false">
      <c r="A54" s="33" t="n">
        <v>48</v>
      </c>
      <c r="B54" s="34" t="n">
        <f aca="false">EDATE(B53,1)</f>
        <v>50740</v>
      </c>
      <c r="C54" s="35" t="n">
        <f aca="false">G53</f>
        <v>806579.646272527</v>
      </c>
      <c r="D54" s="35" t="n">
        <f aca="false">C54*((1+Assumptions!$C$35)^(1/12)-1)</f>
        <v>7653.46724872925</v>
      </c>
      <c r="E54" s="35" t="n">
        <f aca="false">C54+D54</f>
        <v>814233.113521256</v>
      </c>
      <c r="F54" s="35" t="n">
        <f aca="false">MIN(Assumptions!$C$32,E54)</f>
        <v>25000</v>
      </c>
      <c r="G54" s="35" t="n">
        <f aca="false">E54-F54</f>
        <v>789233.113521256</v>
      </c>
      <c r="H54" s="35" t="n">
        <f aca="false">H53+F54</f>
        <v>1200000</v>
      </c>
    </row>
    <row r="55" customFormat="false" ht="15" hidden="false" customHeight="false" outlineLevel="1" collapsed="false">
      <c r="A55" s="38" t="n">
        <v>49</v>
      </c>
      <c r="B55" s="39" t="n">
        <f aca="false">EDATE(B54,1)</f>
        <v>50771</v>
      </c>
      <c r="C55" s="40" t="n">
        <f aca="false">G54</f>
        <v>789233.113521256</v>
      </c>
      <c r="D55" s="40" t="n">
        <f aca="false">C55*((1+Assumptions!$C$35)^(1/12)-1)</f>
        <v>7488.86959131948</v>
      </c>
      <c r="E55" s="40" t="n">
        <f aca="false">C55+D55</f>
        <v>796721.983112576</v>
      </c>
      <c r="F55" s="40" t="n">
        <f aca="false">MIN(Assumptions!$C$32,E55)</f>
        <v>25000</v>
      </c>
      <c r="G55" s="40" t="n">
        <f aca="false">E55-F55</f>
        <v>771721.983112576</v>
      </c>
      <c r="H55" s="40" t="n">
        <f aca="false">H54+F55</f>
        <v>1225000</v>
      </c>
    </row>
    <row r="56" customFormat="false" ht="15" hidden="false" customHeight="false" outlineLevel="1" collapsed="false">
      <c r="A56" s="33" t="n">
        <v>50</v>
      </c>
      <c r="B56" s="34" t="n">
        <f aca="false">EDATE(B55,1)</f>
        <v>50802</v>
      </c>
      <c r="C56" s="35" t="n">
        <f aca="false">G55</f>
        <v>771721.983112576</v>
      </c>
      <c r="D56" s="35" t="n">
        <f aca="false">C56*((1+Assumptions!$C$35)^(1/12)-1)</f>
        <v>7322.71010082103</v>
      </c>
      <c r="E56" s="35" t="n">
        <f aca="false">C56+D56</f>
        <v>779044.693213397</v>
      </c>
      <c r="F56" s="35" t="n">
        <f aca="false">MIN(Assumptions!$C$32,E56)</f>
        <v>25000</v>
      </c>
      <c r="G56" s="35" t="n">
        <f aca="false">E56-F56</f>
        <v>754044.693213397</v>
      </c>
      <c r="H56" s="35" t="n">
        <f aca="false">H55+F56</f>
        <v>1250000</v>
      </c>
    </row>
    <row r="57" customFormat="false" ht="15" hidden="false" customHeight="false" outlineLevel="1" collapsed="false">
      <c r="A57" s="38" t="n">
        <v>51</v>
      </c>
      <c r="B57" s="39" t="n">
        <f aca="false">EDATE(B56,1)</f>
        <v>50830</v>
      </c>
      <c r="C57" s="40" t="n">
        <f aca="false">G56</f>
        <v>754044.693213397</v>
      </c>
      <c r="D57" s="40" t="n">
        <f aca="false">C57*((1+Assumptions!$C$35)^(1/12)-1)</f>
        <v>7154.97395732312</v>
      </c>
      <c r="E57" s="40" t="n">
        <f aca="false">C57+D57</f>
        <v>761199.66717072</v>
      </c>
      <c r="F57" s="40" t="n">
        <f aca="false">MIN(Assumptions!$C$32,E57)</f>
        <v>25000</v>
      </c>
      <c r="G57" s="40" t="n">
        <f aca="false">E57-F57</f>
        <v>736199.66717072</v>
      </c>
      <c r="H57" s="40" t="n">
        <f aca="false">H56+F57</f>
        <v>1275000</v>
      </c>
    </row>
    <row r="58" customFormat="false" ht="15" hidden="false" customHeight="false" outlineLevel="1" collapsed="false">
      <c r="A58" s="33" t="n">
        <v>52</v>
      </c>
      <c r="B58" s="34" t="n">
        <f aca="false">EDATE(B57,1)</f>
        <v>50861</v>
      </c>
      <c r="C58" s="35" t="n">
        <f aca="false">G57</f>
        <v>736199.66717072</v>
      </c>
      <c r="D58" s="35" t="n">
        <f aca="false">C58*((1+Assumptions!$C$35)^(1/12)-1)</f>
        <v>6985.64620029192</v>
      </c>
      <c r="E58" s="35" t="n">
        <f aca="false">C58+D58</f>
        <v>743185.313371012</v>
      </c>
      <c r="F58" s="35" t="n">
        <f aca="false">MIN(Assumptions!$C$32,E58)</f>
        <v>25000</v>
      </c>
      <c r="G58" s="35" t="n">
        <f aca="false">E58-F58</f>
        <v>718185.313371012</v>
      </c>
      <c r="H58" s="35" t="n">
        <f aca="false">H57+F58</f>
        <v>1300000</v>
      </c>
    </row>
    <row r="59" customFormat="false" ht="15" hidden="false" customHeight="false" outlineLevel="1" collapsed="false">
      <c r="A59" s="38" t="n">
        <v>53</v>
      </c>
      <c r="B59" s="39" t="n">
        <f aca="false">EDATE(B58,1)</f>
        <v>50891</v>
      </c>
      <c r="C59" s="40" t="n">
        <f aca="false">G58</f>
        <v>718185.313371012</v>
      </c>
      <c r="D59" s="40" t="n">
        <f aca="false">C59*((1+Assumptions!$C$35)^(1/12)-1)</f>
        <v>6814.71172723617</v>
      </c>
      <c r="E59" s="40" t="n">
        <f aca="false">C59+D59</f>
        <v>725000.025098248</v>
      </c>
      <c r="F59" s="40" t="n">
        <f aca="false">MIN(Assumptions!$C$32,E59)</f>
        <v>25000</v>
      </c>
      <c r="G59" s="40" t="n">
        <f aca="false">E59-F59</f>
        <v>700000.025098248</v>
      </c>
      <c r="H59" s="40" t="n">
        <f aca="false">H58+F59</f>
        <v>1325000</v>
      </c>
    </row>
    <row r="60" customFormat="false" ht="15" hidden="false" customHeight="false" outlineLevel="1" collapsed="false">
      <c r="A60" s="33" t="n">
        <v>54</v>
      </c>
      <c r="B60" s="34" t="n">
        <f aca="false">EDATE(B59,1)</f>
        <v>50922</v>
      </c>
      <c r="C60" s="35" t="n">
        <f aca="false">G59</f>
        <v>700000.025098248</v>
      </c>
      <c r="D60" s="35" t="n">
        <f aca="false">C60*((1+Assumptions!$C$35)^(1/12)-1)</f>
        <v>6642.15529236021</v>
      </c>
      <c r="E60" s="35" t="n">
        <f aca="false">C60+D60</f>
        <v>706642.180390608</v>
      </c>
      <c r="F60" s="35" t="n">
        <f aca="false">MIN(Assumptions!$C$32,E60)</f>
        <v>25000</v>
      </c>
      <c r="G60" s="35" t="n">
        <f aca="false">E60-F60</f>
        <v>681642.180390608</v>
      </c>
      <c r="H60" s="35" t="n">
        <f aca="false">H59+F60</f>
        <v>1350000</v>
      </c>
    </row>
    <row r="61" customFormat="false" ht="15" hidden="false" customHeight="false" outlineLevel="1" collapsed="false">
      <c r="A61" s="38" t="n">
        <v>55</v>
      </c>
      <c r="B61" s="39" t="n">
        <f aca="false">EDATE(B60,1)</f>
        <v>50952</v>
      </c>
      <c r="C61" s="40" t="n">
        <f aca="false">G60</f>
        <v>681642.180390608</v>
      </c>
      <c r="D61" s="40" t="n">
        <f aca="false">C61*((1+Assumptions!$C$35)^(1/12)-1)</f>
        <v>6467.96150520419</v>
      </c>
      <c r="E61" s="40" t="n">
        <f aca="false">C61+D61</f>
        <v>688110.141895813</v>
      </c>
      <c r="F61" s="40" t="n">
        <f aca="false">MIN(Assumptions!$C$32,E61)</f>
        <v>25000</v>
      </c>
      <c r="G61" s="40" t="n">
        <f aca="false">E61-F61</f>
        <v>663110.141895813</v>
      </c>
      <c r="H61" s="40" t="n">
        <f aca="false">H60+F61</f>
        <v>1375000</v>
      </c>
    </row>
    <row r="62" customFormat="false" ht="15" hidden="false" customHeight="false" outlineLevel="1" collapsed="false">
      <c r="A62" s="33" t="n">
        <v>56</v>
      </c>
      <c r="B62" s="34" t="n">
        <f aca="false">EDATE(B61,1)</f>
        <v>50983</v>
      </c>
      <c r="C62" s="35" t="n">
        <f aca="false">G61</f>
        <v>663110.141895813</v>
      </c>
      <c r="D62" s="35" t="n">
        <f aca="false">C62*((1+Assumptions!$C$35)^(1/12)-1)</f>
        <v>6292.11482927135</v>
      </c>
      <c r="E62" s="35" t="n">
        <f aca="false">C62+D62</f>
        <v>669402.256725084</v>
      </c>
      <c r="F62" s="35" t="n">
        <f aca="false">MIN(Assumptions!$C$32,E62)</f>
        <v>25000</v>
      </c>
      <c r="G62" s="35" t="n">
        <f aca="false">E62-F62</f>
        <v>644402.256725084</v>
      </c>
      <c r="H62" s="35" t="n">
        <f aca="false">H61+F62</f>
        <v>1400000</v>
      </c>
    </row>
    <row r="63" customFormat="false" ht="15" hidden="false" customHeight="false" outlineLevel="1" collapsed="false">
      <c r="A63" s="38" t="n">
        <v>57</v>
      </c>
      <c r="B63" s="39" t="n">
        <f aca="false">EDATE(B62,1)</f>
        <v>51014</v>
      </c>
      <c r="C63" s="40" t="n">
        <f aca="false">G62</f>
        <v>644402.256725084</v>
      </c>
      <c r="D63" s="40" t="n">
        <f aca="false">C63*((1+Assumptions!$C$35)^(1/12)-1)</f>
        <v>6114.59958064235</v>
      </c>
      <c r="E63" s="40" t="n">
        <f aca="false">C63+D63</f>
        <v>650516.856305726</v>
      </c>
      <c r="F63" s="40" t="n">
        <f aca="false">MIN(Assumptions!$C$32,E63)</f>
        <v>25000</v>
      </c>
      <c r="G63" s="40" t="n">
        <f aca="false">E63-F63</f>
        <v>625516.856305726</v>
      </c>
      <c r="H63" s="40" t="n">
        <f aca="false">H62+F63</f>
        <v>1425000</v>
      </c>
    </row>
    <row r="64" customFormat="false" ht="15" hidden="false" customHeight="false" outlineLevel="1" collapsed="false">
      <c r="A64" s="33" t="n">
        <v>58</v>
      </c>
      <c r="B64" s="34" t="n">
        <f aca="false">EDATE(B63,1)</f>
        <v>51044</v>
      </c>
      <c r="C64" s="35" t="n">
        <f aca="false">G63</f>
        <v>625516.856305726</v>
      </c>
      <c r="D64" s="35" t="n">
        <f aca="false">C64*((1+Assumptions!$C$35)^(1/12)-1)</f>
        <v>5935.39992657637</v>
      </c>
      <c r="E64" s="35" t="n">
        <f aca="false">C64+D64</f>
        <v>631452.256232303</v>
      </c>
      <c r="F64" s="35" t="n">
        <f aca="false">MIN(Assumptions!$C$32,E64)</f>
        <v>25000</v>
      </c>
      <c r="G64" s="35" t="n">
        <f aca="false">E64-F64</f>
        <v>606452.256232303</v>
      </c>
      <c r="H64" s="35" t="n">
        <f aca="false">H63+F64</f>
        <v>1450000</v>
      </c>
    </row>
    <row r="65" customFormat="false" ht="15" hidden="false" customHeight="false" outlineLevel="1" collapsed="false">
      <c r="A65" s="38" t="n">
        <v>59</v>
      </c>
      <c r="B65" s="39" t="n">
        <f aca="false">EDATE(B64,1)</f>
        <v>51075</v>
      </c>
      <c r="C65" s="40" t="n">
        <f aca="false">G64</f>
        <v>606452.256232303</v>
      </c>
      <c r="D65" s="40" t="n">
        <f aca="false">C65*((1+Assumptions!$C$35)^(1/12)-1)</f>
        <v>5754.49988409902</v>
      </c>
      <c r="E65" s="40" t="n">
        <f aca="false">C65+D65</f>
        <v>612206.756116402</v>
      </c>
      <c r="F65" s="40" t="n">
        <f aca="false">MIN(Assumptions!$C$32,E65)</f>
        <v>25000</v>
      </c>
      <c r="G65" s="40" t="n">
        <f aca="false">E65-F65</f>
        <v>587206.756116402</v>
      </c>
      <c r="H65" s="40" t="n">
        <f aca="false">H64+F65</f>
        <v>1475000</v>
      </c>
    </row>
    <row r="66" customFormat="false" ht="15" hidden="false" customHeight="false" outlineLevel="0" collapsed="false">
      <c r="A66" s="33" t="n">
        <v>60</v>
      </c>
      <c r="B66" s="34" t="n">
        <f aca="false">EDATE(B65,1)</f>
        <v>51105</v>
      </c>
      <c r="C66" s="35" t="n">
        <f aca="false">G65</f>
        <v>587206.756116402</v>
      </c>
      <c r="D66" s="35" t="n">
        <f aca="false">C66*((1+Assumptions!$C$35)^(1/12)-1)</f>
        <v>5571.88331857674</v>
      </c>
      <c r="E66" s="35" t="n">
        <f aca="false">C66+D66</f>
        <v>592778.639434978</v>
      </c>
      <c r="F66" s="35" t="n">
        <f aca="false">MIN(Assumptions!$C$32,E66)</f>
        <v>25000</v>
      </c>
      <c r="G66" s="35" t="n">
        <f aca="false">E66-F66</f>
        <v>567778.639434978</v>
      </c>
      <c r="H66" s="35" t="n">
        <f aca="false">H65+F66</f>
        <v>1500000</v>
      </c>
    </row>
    <row r="68" customFormat="false" ht="15" hidden="false" customHeight="false" outlineLevel="0" collapsed="false">
      <c r="A68" s="18" t="s">
        <v>189</v>
      </c>
    </row>
    <row r="69" customFormat="false" ht="15" hidden="false" customHeight="false" outlineLevel="0" collapsed="false">
      <c r="A69" s="68" t="s">
        <v>190</v>
      </c>
      <c r="C69" s="69" t="n">
        <f aca="false">H66</f>
        <v>1500000</v>
      </c>
    </row>
    <row r="70" customFormat="false" ht="15" hidden="false" customHeight="false" outlineLevel="0" collapsed="false">
      <c r="A70" s="68" t="s">
        <v>191</v>
      </c>
      <c r="C70" s="69" t="n">
        <f aca="false">G66</f>
        <v>567778.639434978</v>
      </c>
    </row>
    <row r="72" customFormat="false" ht="49.5" hidden="false" customHeight="true" outlineLevel="0" collapsed="false">
      <c r="A72" s="66" t="s">
        <v>192</v>
      </c>
      <c r="B72" s="66"/>
      <c r="C72" s="66"/>
      <c r="D72" s="66"/>
      <c r="E72" s="66"/>
      <c r="F72" s="66"/>
      <c r="G72" s="66"/>
      <c r="H72" s="66"/>
    </row>
  </sheetData>
  <mergeCells count="1">
    <mergeCell ref="A72:H7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2026-09-23T00:43:57Z</dcterms:created>
  <dc:creator>openpyxl</dc:creator>
  <dc:description/>
  <dc:language>en-US</dc:language>
  <cp:lastModifiedBy/>
  <dcterms:modified xsi:type="dcterms:W3CDTF">2026-09-23T00:44:31Z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